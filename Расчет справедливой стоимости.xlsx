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0200C78F-364D-4314-8C8A-A82F89462687}" xr6:coauthVersionLast="47" xr6:coauthVersionMax="47" xr10:uidLastSave="{00000000-0000-0000-0000-000000000000}"/>
  <bookViews>
    <workbookView xWindow="-108" yWindow="-108" windowWidth="23256" windowHeight="13896" firstSheet="2" activeTab="7" xr2:uid="{00000000-000D-0000-FFFF-FFFF00000000}"/>
  </bookViews>
  <sheets>
    <sheet name="Фин. показатели" sheetId="1" r:id="rId1"/>
    <sheet name="DCF" sheetId="2" r:id="rId2"/>
    <sheet name="Стресс тест" sheetId="4" r:id="rId3"/>
    <sheet name="Черновик" sheetId="5" r:id="rId4"/>
    <sheet name="Ситуация для продажи" sheetId="6" r:id="rId5"/>
    <sheet name="Конкурентные преимущества " sheetId="7" r:id="rId6"/>
    <sheet name="Риски" sheetId="8" r:id="rId7"/>
    <sheet name="МА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4" l="1"/>
  <c r="O13" i="4"/>
  <c r="Q12" i="4"/>
  <c r="Q11" i="4"/>
  <c r="Q9" i="4"/>
  <c r="Q8" i="4"/>
  <c r="Q13" i="4" l="1"/>
  <c r="C11" i="4" s="1"/>
  <c r="G11" i="4" l="1"/>
  <c r="K11" i="4"/>
  <c r="D11" i="4"/>
  <c r="H11" i="4"/>
  <c r="L11" i="4"/>
  <c r="E11" i="4"/>
  <c r="I11" i="4"/>
  <c r="F11" i="4"/>
  <c r="J11" i="4"/>
  <c r="C8" i="4" l="1"/>
  <c r="C24" i="4"/>
  <c r="D23" i="4"/>
  <c r="E23" i="4" s="1"/>
  <c r="C20" i="2"/>
  <c r="C10" i="4" l="1"/>
  <c r="D8" i="4"/>
  <c r="D10" i="4" s="1"/>
  <c r="E24" i="4"/>
  <c r="F23" i="4"/>
  <c r="F24" i="4" s="1"/>
  <c r="D24" i="4"/>
  <c r="C22" i="2"/>
  <c r="C23" i="2" s="1"/>
  <c r="D21" i="2"/>
  <c r="E20" i="2"/>
  <c r="D20" i="2"/>
  <c r="F20" i="2"/>
  <c r="G20" i="2"/>
  <c r="H20" i="2"/>
  <c r="I20" i="2"/>
  <c r="J20" i="2"/>
  <c r="K20" i="2"/>
  <c r="L20" i="2"/>
  <c r="B25" i="2" s="1"/>
  <c r="B26" i="2" s="1"/>
  <c r="B27" i="2" s="1"/>
  <c r="D18" i="4" l="1"/>
  <c r="D14" i="4"/>
  <c r="D12" i="4"/>
  <c r="D20" i="4"/>
  <c r="C18" i="4"/>
  <c r="C14" i="4"/>
  <c r="C12" i="4"/>
  <c r="C20" i="4"/>
  <c r="G23" i="4"/>
  <c r="H23" i="4" s="1"/>
  <c r="E8" i="4"/>
  <c r="E10" i="4" s="1"/>
  <c r="G24" i="4"/>
  <c r="D22" i="2"/>
  <c r="D23" i="2" s="1"/>
  <c r="E21" i="2"/>
  <c r="C16" i="4" l="1"/>
  <c r="C22" i="4" s="1"/>
  <c r="C25" i="4" s="1"/>
  <c r="D16" i="4"/>
  <c r="D22" i="4" s="1"/>
  <c r="D25" i="4" s="1"/>
  <c r="E20" i="4"/>
  <c r="E18" i="4"/>
  <c r="E14" i="4"/>
  <c r="E12" i="4"/>
  <c r="F8" i="4"/>
  <c r="F10" i="4" s="1"/>
  <c r="I23" i="4"/>
  <c r="H24" i="4"/>
  <c r="E22" i="2"/>
  <c r="E23" i="2" s="1"/>
  <c r="F21" i="2"/>
  <c r="F12" i="4" l="1"/>
  <c r="F20" i="4"/>
  <c r="F18" i="4"/>
  <c r="F14" i="4"/>
  <c r="G8" i="4"/>
  <c r="G10" i="4" s="1"/>
  <c r="E16" i="4"/>
  <c r="E22" i="4" s="1"/>
  <c r="E25" i="4" s="1"/>
  <c r="I24" i="4"/>
  <c r="J23" i="4"/>
  <c r="F22" i="2"/>
  <c r="F23" i="2" s="1"/>
  <c r="G21" i="2"/>
  <c r="G12" i="4" l="1"/>
  <c r="G20" i="4"/>
  <c r="G18" i="4"/>
  <c r="G14" i="4"/>
  <c r="F16" i="4"/>
  <c r="F22" i="4" s="1"/>
  <c r="F25" i="4" s="1"/>
  <c r="H8" i="4"/>
  <c r="H10" i="4" s="1"/>
  <c r="J24" i="4"/>
  <c r="K23" i="4"/>
  <c r="G22" i="2"/>
  <c r="G23" i="2" s="1"/>
  <c r="H21" i="2"/>
  <c r="H18" i="4" l="1"/>
  <c r="H14" i="4"/>
  <c r="H12" i="4"/>
  <c r="H20" i="4"/>
  <c r="I8" i="4"/>
  <c r="I10" i="4" s="1"/>
  <c r="G16" i="4"/>
  <c r="G22" i="4" s="1"/>
  <c r="G25" i="4" s="1"/>
  <c r="K24" i="4"/>
  <c r="L23" i="4"/>
  <c r="L24" i="4" s="1"/>
  <c r="H22" i="2"/>
  <c r="H23" i="2" s="1"/>
  <c r="I21" i="2"/>
  <c r="I20" i="4" l="1"/>
  <c r="I12" i="4"/>
  <c r="I18" i="4"/>
  <c r="I14" i="4"/>
  <c r="H16" i="4"/>
  <c r="H22" i="4" s="1"/>
  <c r="H25" i="4" s="1"/>
  <c r="J8" i="4"/>
  <c r="J10" i="4" s="1"/>
  <c r="I22" i="2"/>
  <c r="I23" i="2" s="1"/>
  <c r="J21" i="2"/>
  <c r="J12" i="4" l="1"/>
  <c r="J20" i="4"/>
  <c r="J18" i="4"/>
  <c r="J14" i="4"/>
  <c r="I16" i="4"/>
  <c r="I22" i="4" s="1"/>
  <c r="I25" i="4" s="1"/>
  <c r="K8" i="4"/>
  <c r="K10" i="4" s="1"/>
  <c r="J22" i="2"/>
  <c r="J23" i="2" s="1"/>
  <c r="K21" i="2"/>
  <c r="J16" i="4" l="1"/>
  <c r="J22" i="4" s="1"/>
  <c r="J25" i="4" s="1"/>
  <c r="K18" i="4"/>
  <c r="K14" i="4"/>
  <c r="K12" i="4"/>
  <c r="K20" i="4"/>
  <c r="L8" i="4"/>
  <c r="L10" i="4" s="1"/>
  <c r="K22" i="2"/>
  <c r="K23" i="2" s="1"/>
  <c r="L21" i="2"/>
  <c r="L22" i="2" s="1"/>
  <c r="L23" i="2" s="1"/>
  <c r="B24" i="2" s="1"/>
  <c r="B28" i="2" s="1"/>
  <c r="B29" i="2" s="1"/>
  <c r="L20" i="4" l="1"/>
  <c r="L18" i="4"/>
  <c r="L14" i="4"/>
  <c r="L12" i="4"/>
  <c r="K16" i="4"/>
  <c r="K22" i="4" s="1"/>
  <c r="K25" i="4" s="1"/>
  <c r="L16" i="4" l="1"/>
  <c r="L22" i="4" s="1"/>
  <c r="L25" i="4" l="1"/>
  <c r="B26" i="4" s="1"/>
  <c r="B27" i="4"/>
  <c r="B28" i="4" s="1"/>
  <c r="B29" i="4" s="1"/>
  <c r="B30" i="4" l="1"/>
  <c r="B20" i="4"/>
  <c r="B12" i="4"/>
  <c r="B16" i="4" s="1"/>
  <c r="B18" i="4"/>
  <c r="B14" i="4"/>
</calcChain>
</file>

<file path=xl/sharedStrings.xml><?xml version="1.0" encoding="utf-8"?>
<sst xmlns="http://schemas.openxmlformats.org/spreadsheetml/2006/main" count="320" uniqueCount="178">
  <si>
    <t>млрд. руб.</t>
  </si>
  <si>
    <t>2025Ф</t>
  </si>
  <si>
    <t>2026П</t>
  </si>
  <si>
    <t>2027П</t>
  </si>
  <si>
    <t>2028П</t>
  </si>
  <si>
    <t>2029П</t>
  </si>
  <si>
    <t>2030П</t>
  </si>
  <si>
    <t>2031П</t>
  </si>
  <si>
    <t>2032П</t>
  </si>
  <si>
    <t>2033П</t>
  </si>
  <si>
    <t>2034П</t>
  </si>
  <si>
    <t>2035П</t>
  </si>
  <si>
    <t>11,5</t>
  </si>
  <si>
    <t>18,7</t>
  </si>
  <si>
    <t>22,4</t>
  </si>
  <si>
    <t>25,8</t>
  </si>
  <si>
    <t>28,4</t>
  </si>
  <si>
    <t>30,9</t>
  </si>
  <si>
    <t>33,4</t>
  </si>
  <si>
    <t>35,7</t>
  </si>
  <si>
    <t>37,9</t>
  </si>
  <si>
    <t>0,15</t>
  </si>
  <si>
    <t>0,30</t>
  </si>
  <si>
    <t>0,25</t>
  </si>
  <si>
    <t>0,20</t>
  </si>
  <si>
    <t>0,10</t>
  </si>
  <si>
    <t>0,09</t>
  </si>
  <si>
    <t>0,08</t>
  </si>
  <si>
    <t>0,07</t>
  </si>
  <si>
    <t>0,06</t>
  </si>
  <si>
    <t>EBITDA</t>
  </si>
  <si>
    <t>3,5</t>
  </si>
  <si>
    <t>4,3</t>
  </si>
  <si>
    <t>10,3</t>
  </si>
  <si>
    <t>12,9</t>
  </si>
  <si>
    <t>14,2</t>
  </si>
  <si>
    <t>15,5</t>
  </si>
  <si>
    <t>16,7</t>
  </si>
  <si>
    <t>17,9</t>
  </si>
  <si>
    <t>18,9</t>
  </si>
  <si>
    <t>0,35</t>
  </si>
  <si>
    <t>0,37</t>
  </si>
  <si>
    <t>0,4</t>
  </si>
  <si>
    <t>0,43</t>
  </si>
  <si>
    <t>0,46</t>
  </si>
  <si>
    <t>0,50</t>
  </si>
  <si>
    <t>0,5</t>
  </si>
  <si>
    <t>D&amp;A</t>
  </si>
  <si>
    <t>0,1</t>
  </si>
  <si>
    <t>0,2</t>
  </si>
  <si>
    <t>0,3</t>
  </si>
  <si>
    <t>0,01</t>
  </si>
  <si>
    <t>NOPAT</t>
  </si>
  <si>
    <t>2,6</t>
  </si>
  <si>
    <t>3,1</t>
  </si>
  <si>
    <t>4,4</t>
  </si>
  <si>
    <t>5,9</t>
  </si>
  <si>
    <t>7,6</t>
  </si>
  <si>
    <t>9,5</t>
  </si>
  <si>
    <t>10,4</t>
  </si>
  <si>
    <t>11,4</t>
  </si>
  <si>
    <t>12,3</t>
  </si>
  <si>
    <t>13,1</t>
  </si>
  <si>
    <t>13,9</t>
  </si>
  <si>
    <t>0,02</t>
  </si>
  <si>
    <t>0,6</t>
  </si>
  <si>
    <t>0,7</t>
  </si>
  <si>
    <t>0,8</t>
  </si>
  <si>
    <t>Выручка</t>
  </si>
  <si>
    <t>% ставки налога</t>
  </si>
  <si>
    <t>Капитальные затраты</t>
  </si>
  <si>
    <t>Уменьшение/(увеличение) оборотного капитала</t>
  </si>
  <si>
    <t>% рост г/г</t>
  </si>
  <si>
    <t>% выручки</t>
  </si>
  <si>
    <t>Параметр</t>
  </si>
  <si>
    <t>Значение</t>
  </si>
  <si>
    <t>WACC</t>
  </si>
  <si>
    <t>Долгосрочный рост (g)</t>
  </si>
  <si>
    <t>Ставка налога</t>
  </si>
  <si>
    <t>Чистый долг</t>
  </si>
  <si>
    <t>Дата оценки</t>
  </si>
  <si>
    <t>FCF</t>
  </si>
  <si>
    <t>К дисконтирования</t>
  </si>
  <si>
    <t>FCF в последний год (2035)</t>
  </si>
  <si>
    <t>Год</t>
  </si>
  <si>
    <t>TV</t>
  </si>
  <si>
    <t>EV</t>
  </si>
  <si>
    <t>DCF</t>
  </si>
  <si>
    <t>Cummulated DCF</t>
  </si>
  <si>
    <t>Discount TV</t>
  </si>
  <si>
    <t>Сегмент</t>
  </si>
  <si>
    <t>Доля</t>
  </si>
  <si>
    <t>Падение (%)</t>
  </si>
  <si>
    <t>Новая доля</t>
  </si>
  <si>
    <t>Классифайды</t>
  </si>
  <si>
    <t>Дилерские продукты</t>
  </si>
  <si>
    <t>Реклама</t>
  </si>
  <si>
    <t>Дополнительные сервисы</t>
  </si>
  <si>
    <t>Прочее</t>
  </si>
  <si>
    <t>Итого</t>
  </si>
  <si>
    <t>Выручка (скорректированная)</t>
  </si>
  <si>
    <t>% стресс коррекции</t>
  </si>
  <si>
    <t>За последние десять лет продажи новых машин достигали в среднем 1-1,5 млн штук за год, в то время как объем проданных б/у авто ежегодно составлял около 5,5-6 млн единиц</t>
  </si>
  <si>
    <t>при ограниченном росте доходов домохозяйств подержанный автомобиль стал для большинства основным вариантом покупки автотранспорта</t>
  </si>
  <si>
    <t>В условиях подорожания новых машин и высоких ставок по автокредитам рынок б/у-авто получил дополнительный импульс</t>
  </si>
  <si>
    <t>размещение объявлений о продаже Оказалось, что 75% использовали для этого Авито Авто, 40% указали на Auto.ru, а каждый третий (33%) выбрал Drom.ru.</t>
  </si>
  <si>
    <t xml:space="preserve">Аналогичная ситуация сложилась и с поиском автомобиля. Так, искали для покупки автомобиль на Авито Авто 76% из числа наших участников опроса, на Auto.ru – 57%, на Drom.ru – 38%.
</t>
  </si>
  <si>
    <t>делает больше других для обеспечения безопасности пользователей – 42%. Auto.ru тут на втором месте (34%), а Drom.ru – на третьем (22%).</t>
  </si>
  <si>
    <t>Рынок автомобильной рекламы именно на этот рынок надо смотреть в контексте Авто ру  Именно он и генерировал выручку для Яндекса</t>
  </si>
  <si>
    <t>Однако в последние несколько лет появился новый тренд — движение классифайдов в сторону транзакционной модели маркетплейсов</t>
  </si>
  <si>
    <t xml:space="preserve">В таком случае Яндексу потребуются капитальные вложения чтобы создать полноценный маркет плейс для автомобилей </t>
  </si>
  <si>
    <t>Для такого маркет плейса будет отличным преимуществом иметь свой банк (у яндекса такой есть), но вопрос а какая стратегия у яндекс банка и хотят ли они выдавать автокредиты</t>
  </si>
  <si>
    <t>транзакционные платформы обладают преимуществами в виде развития собственного финтеха и смещения фокуса на качество клиентского опыта</t>
  </si>
  <si>
    <t>Выбор между «СберАвто» и «Т-Авто» (Т-Банк) зависит от ваших приоритетов. «Т-Авто» предлагает полностью онлайн-покупку без навязанных дилерских услуг с фокусом на новые авто, тогда как «СберАвто» лучше для широкого поиска подержанных машин благодаря гигантской базе объявлений и удобной доставке</t>
  </si>
  <si>
    <t xml:space="preserve">Получается в сберавто уже и так предоставляет ту же услугу что и Авто ру, думаю они не захотят его покупать </t>
  </si>
  <si>
    <t xml:space="preserve">А вот тинек наоборот уже обладает платформой для продажи авто от производителей напрямую и расшириться на вторичку будет очень и очень заманчиво особенно что рынок растущий </t>
  </si>
  <si>
    <t>Чтобы выстроить такую платформу необходимо обладать компетенциями (нести доп риски) увеличивать капитальные вложения</t>
  </si>
  <si>
    <t xml:space="preserve">Авто ру ценный актив, но прямо сейчас, если его не развивать, то он останется на своиз средних позициях на рынке классифайдеров и без под функционала будет стагнировать, тк клиенты будут отдавать предпочтения более прадвинутым платформам с широким функционалом </t>
  </si>
  <si>
    <t>Вот почему сейчас подходящее время его продать</t>
  </si>
  <si>
    <t xml:space="preserve">Получается путь первый - трансформируем авто ру в маркет плейс авто (увеличиваем капекс и риски) учитывая положения Я маркета они не захотят повторят этот опыт + есть сильный конкурент в виде Авито </t>
  </si>
  <si>
    <t xml:space="preserve">Вариант 2 - продать тем кто видит ценность в авто как в активе, который будет кусочком пазла их маркет плейса </t>
  </si>
  <si>
    <t xml:space="preserve">Главный генератор прибыли Яндекса - это реклама </t>
  </si>
  <si>
    <t xml:space="preserve">Главный генеротор прибыли Авто ру реклама </t>
  </si>
  <si>
    <t xml:space="preserve">Модель хорошая, но если будет меняться парадигма, то реклама стенет неактуальной на авто ру  и заработок прекратиться </t>
  </si>
  <si>
    <t>Главная мысль</t>
  </si>
  <si>
    <t>Рассматриваем яндекс как РЕКЛАМНУЮ компанию которая купила АВТО РУ как рекламную компанию, но если эта бизнес модель (заработок на рекламе) перестанет работать, то ….</t>
  </si>
  <si>
    <t xml:space="preserve">Тратимся на ее перестройку и не факт что успешно и не факт что успеем </t>
  </si>
  <si>
    <t>Есть покупатели которые видят в авто ру ценный актив и оценвают его в первую очередь ни как рекламную компанию</t>
  </si>
  <si>
    <t xml:space="preserve">Да заработок с классифайдера останется, НО если им будет пользоваться, пользоваться в составе платформы </t>
  </si>
  <si>
    <t>EV/EBITDA</t>
  </si>
  <si>
    <t xml:space="preserve">Авто ру был профильным активом когда разабатывал на рекламе  Иначе это не профильный актив </t>
  </si>
  <si>
    <t>Пользователей увеличили с 12 до 33 млн чел</t>
  </si>
  <si>
    <t xml:space="preserve">Короче купили в 14 году за 175 млн долл (7 млрд рублей) продать даже по цене 35 млрд норм </t>
  </si>
  <si>
    <t>исходить из звучавшей в СМИ оценке EBITDA в 2–3 млрд руб., то оценка в 35 млрд выглядит несколько высокой</t>
  </si>
  <si>
    <t>Интеграция Авто.ру с продуктами и сервисами Т⁠-⁠Банка позволит выстроить первую на российском рынке полномасштабную авто‑экосистему 360°, которая объединит миллионы частных покупателей и продавцов автомобилей, тысячи автодилеров и сотни автопроизводителей, отмечают в пресс‑службе Т⁠-⁠Банка.</t>
  </si>
  <si>
    <t xml:space="preserve">Вот мне кажется синергии нет в цене тк таких же результатов яндекс не может добиться </t>
  </si>
  <si>
    <t>Если авто ру остается в Яндексе то необходино развивать финансовые сервисы</t>
  </si>
  <si>
    <t xml:space="preserve">Короче это все затраты затраты и затраты, даже владение авто ру это не решающий фактор Т авто и без них крутые </t>
  </si>
  <si>
    <t xml:space="preserve">и вот в словиях сложной экономической ситуации и дорогих денег развитие нового сервиса сложно назвать преоритетот </t>
  </si>
  <si>
    <t xml:space="preserve">ИИ гонка в которой надо участвовать требует затрат на ЦОД специалистов и т.д. получить КЭШ от продажи непрофильного бизнеса отчичная идея </t>
  </si>
  <si>
    <t xml:space="preserve">Деньги пускаем на профильные направления </t>
  </si>
  <si>
    <t>Преимущества авто ру</t>
  </si>
  <si>
    <t>Высокое качество модерации и достоверность Клиенты верядт</t>
  </si>
  <si>
    <t>Авито много всего, но и ного ффекйков</t>
  </si>
  <si>
    <t>Дром в сибири</t>
  </si>
  <si>
    <t>Отчеты авто ру практически стандарт индустрии (узнать историю авто)</t>
  </si>
  <si>
    <t>Авито требует проверки не так надежно</t>
  </si>
  <si>
    <t>Дром в сибириъ</t>
  </si>
  <si>
    <t>Размещение платное (вот тут и заработок)</t>
  </si>
  <si>
    <t>Авито можно и бесплатно (но страдай от фейков и отмана)</t>
  </si>
  <si>
    <t>Качетво объявлений главное преимущество авто ру</t>
  </si>
  <si>
    <t>По МА почему еще дисконт (мое предположение)</t>
  </si>
  <si>
    <t>Оценкка 45.37 по DCF кап заптраты и оборотный капитал в сумме 9.7</t>
  </si>
  <si>
    <t xml:space="preserve">Может отсюда и проявляется дисконт </t>
  </si>
  <si>
    <t>Макроэкономические факторы:
Рынок смещается в сторону b2-авто: При продажах новых машин 1–1,5 млн шт./год, рынок б/у составляет 5,5–6 млн шт. — растущий сегмент, он требует транзакционной модели,  (не рекламной.)
Дорогие деньги: Высокие ставки по кредитам  делают капитальные вложения в новые проекты крайне затратными. Развивать маркетплейс дорого и рискованно.
ИИ-гонка: У Яндекса есть более приоритетные направления (AI, ЦОД, специалисты), которые требуют колоссальных инвестиций. Продажа непрофильного актива дает кэш на эти цели.</t>
  </si>
  <si>
    <t xml:space="preserve">Стратегические факторы:
Смена парадигмы: Классифайды (заработок на рекламе) устаревают. Рынок идет в сторону транзакционных маркетплейсов (как «СберАвто» и «Т-Авто»). Если Auto.ru не трансформировать, он будет стагнировать, а клиенты уйдут к более продвинутым платформам.
Трансформация требует затрат: Чтобы стать маркетплейсом, нужно:
Развивать финтех (кредиты, страхование).
Строить логистику и доставку.
Интегрироваться с дилерами и производителями.
Это капитальные затраты и риски.
Непрофильный актив: Яндекс — это рекламно-технологическая компания. Auto.ru —  рекламный актив. Но если рекламная модель перестанет работать на Auto.ru, то актив потеряет ценность для Яндекса. Для Т-Банка же Auto.ru — это  часть экосистемы 360°.
Рыночные факторы:
Есть покупатель: Т-Банк уже заявил о желании построить авто-экосистему 360°. Auto.ru идеально вписывается в эту стратегию.
Конкуренты сильнее: Авито уже доминирует на рынке классифайдов (76% пользователей используют его).
Купили за 175 млн долл. (7 млрд руб. в 2014 г.), продают за 35 млрд руб. — ROI ≈ 400% за 12 лет. </t>
  </si>
  <si>
    <t>Высокое качество модерации</t>
  </si>
  <si>
    <t>Достоверность истории автомобиля</t>
  </si>
  <si>
    <t>Платное размещение</t>
  </si>
  <si>
    <t>Аудитория</t>
  </si>
  <si>
    <t>Доверие</t>
  </si>
  <si>
    <t>Регион</t>
  </si>
  <si>
    <t>Мосвка и ЦФР</t>
  </si>
  <si>
    <t>33 млн пользователей</t>
  </si>
  <si>
    <t>Модель работает, но она ограничена — доход зависит от количества платных объявлений, а не от транзакций.</t>
  </si>
  <si>
    <t>Клиенты доверяют объявлениям, так как фейков минимально. Это главное отличие от Авито, где много мошенников и недобросовестных продавцов.</t>
  </si>
  <si>
    <t>Отчеты Auto.ru Покупатели могут проверить историю авто, что снижает риски. У Авито такой функционал слабее</t>
  </si>
  <si>
    <t>Покупатели знают, что на Auto.ru объявления проходят жесткую проверку. Сила бренда</t>
  </si>
  <si>
    <t>Потеря дохода</t>
  </si>
  <si>
    <t>Стратегическая ошибка</t>
  </si>
  <si>
    <t>Если через 3–5 лет выяснится, что рынок классифайдов всё ещё жив и мог бы приносить стабильную прибыль</t>
  </si>
  <si>
    <t>Но вероятность низкая</t>
  </si>
  <si>
    <t>Auto.ru генерирует рекламную выручку, а деньги от сделки, пущенные в ИИ направления могут еще долго не возвращаться</t>
  </si>
  <si>
    <t>Думаю это не такой важный аспект</t>
  </si>
  <si>
    <t>Оценка по DCF только при условии агресивного роста (особенно 30 % в 27)</t>
  </si>
  <si>
    <t xml:space="preserve">Т скорее покупает пользователей, бренд и данные </t>
  </si>
  <si>
    <t>На рынке есть сильный конкурент в виде Авито</t>
  </si>
  <si>
    <t>Капитальные затраты в размере 9.7 млрд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</si>
</sst>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right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9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0" borderId="3" xfId="0" applyBorder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4" xfId="0" applyFont="1" applyBorder="1"/>
    <xf numFmtId="0" fontId="0" fillId="0" borderId="4" xfId="0" applyBorder="1"/>
    <xf numFmtId="2" fontId="0" fillId="0" borderId="4" xfId="0" applyNumberFormat="1" applyBorder="1"/>
    <xf numFmtId="166" fontId="0" fillId="0" borderId="3" xfId="0" applyNumberFormat="1" applyBorder="1"/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6" fontId="2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left"/>
    </xf>
    <xf numFmtId="1" fontId="2" fillId="0" borderId="0" xfId="0" applyNumberFormat="1" applyFont="1"/>
    <xf numFmtId="1" fontId="0" fillId="0" borderId="3" xfId="0" applyNumberFormat="1" applyBorder="1"/>
    <xf numFmtId="9" fontId="0" fillId="0" borderId="4" xfId="0" applyNumberFormat="1" applyBorder="1"/>
    <xf numFmtId="9" fontId="0" fillId="0" borderId="4" xfId="1" applyFont="1" applyBorder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L13"/>
  <sheetViews>
    <sheetView workbookViewId="0">
      <selection activeCell="A47" sqref="A47"/>
    </sheetView>
  </sheetViews>
  <sheetFormatPr defaultRowHeight="14.4" x14ac:dyDescent="0.3"/>
  <cols>
    <col min="1" max="1" width="41.33203125" bestFit="1" customWidth="1"/>
    <col min="2" max="12" width="10.5546875" customWidth="1"/>
  </cols>
  <sheetData>
    <row r="1" spans="1:12" ht="15" thickBot="1" x14ac:dyDescent="0.3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x14ac:dyDescent="0.3">
      <c r="A2" s="1" t="s">
        <v>68</v>
      </c>
      <c r="B2" s="2">
        <v>10</v>
      </c>
      <c r="C2" s="2" t="s">
        <v>12</v>
      </c>
      <c r="D2" s="2">
        <v>15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</row>
    <row r="3" spans="1:12" x14ac:dyDescent="0.3">
      <c r="A3" s="2" t="s">
        <v>72</v>
      </c>
      <c r="B3" s="1"/>
      <c r="C3" s="2" t="s">
        <v>21</v>
      </c>
      <c r="D3" s="2" t="s">
        <v>22</v>
      </c>
      <c r="E3" s="2" t="s">
        <v>23</v>
      </c>
      <c r="F3" s="2" t="s">
        <v>24</v>
      </c>
      <c r="G3" s="2" t="s">
        <v>21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</row>
    <row r="4" spans="1:12" x14ac:dyDescent="0.3">
      <c r="A4" s="1" t="s">
        <v>30</v>
      </c>
      <c r="B4" s="2" t="s">
        <v>31</v>
      </c>
      <c r="C4" s="2" t="s">
        <v>32</v>
      </c>
      <c r="D4" s="2">
        <v>6</v>
      </c>
      <c r="E4" s="2">
        <v>8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</row>
    <row r="5" spans="1:12" x14ac:dyDescent="0.3">
      <c r="A5" s="2" t="s">
        <v>73</v>
      </c>
      <c r="B5" s="2" t="s">
        <v>40</v>
      </c>
      <c r="C5" s="2" t="s">
        <v>41</v>
      </c>
      <c r="D5" s="2" t="s">
        <v>42</v>
      </c>
      <c r="E5" s="2" t="s">
        <v>43</v>
      </c>
      <c r="F5" s="2" t="s">
        <v>44</v>
      </c>
      <c r="G5" s="2" t="s">
        <v>45</v>
      </c>
      <c r="H5" s="2" t="s">
        <v>46</v>
      </c>
      <c r="I5" s="2" t="s">
        <v>45</v>
      </c>
      <c r="J5" s="2" t="s">
        <v>46</v>
      </c>
      <c r="K5" s="2" t="s">
        <v>45</v>
      </c>
      <c r="L5" s="2" t="s">
        <v>45</v>
      </c>
    </row>
    <row r="6" spans="1:12" x14ac:dyDescent="0.3">
      <c r="A6" s="1" t="s">
        <v>47</v>
      </c>
      <c r="B6" s="2" t="s">
        <v>48</v>
      </c>
      <c r="C6" s="2" t="s">
        <v>48</v>
      </c>
      <c r="D6" s="2" t="s">
        <v>48</v>
      </c>
      <c r="E6" s="2" t="s">
        <v>49</v>
      </c>
      <c r="F6" s="2" t="s">
        <v>49</v>
      </c>
      <c r="G6" s="2" t="s">
        <v>50</v>
      </c>
      <c r="H6" s="2" t="s">
        <v>50</v>
      </c>
      <c r="I6" s="2" t="s">
        <v>50</v>
      </c>
      <c r="J6" s="2" t="s">
        <v>50</v>
      </c>
      <c r="K6" s="2" t="s">
        <v>42</v>
      </c>
      <c r="L6" s="2" t="s">
        <v>42</v>
      </c>
    </row>
    <row r="7" spans="1:12" ht="15" thickBot="1" x14ac:dyDescent="0.35">
      <c r="A7" s="2" t="s">
        <v>73</v>
      </c>
      <c r="B7" s="2" t="s">
        <v>51</v>
      </c>
      <c r="C7" s="2" t="s">
        <v>51</v>
      </c>
      <c r="D7" s="2" t="s">
        <v>51</v>
      </c>
      <c r="E7" s="2" t="s">
        <v>51</v>
      </c>
      <c r="F7" s="2" t="s">
        <v>51</v>
      </c>
      <c r="G7" s="2" t="s">
        <v>51</v>
      </c>
      <c r="H7" s="2" t="s">
        <v>51</v>
      </c>
      <c r="I7" s="2" t="s">
        <v>51</v>
      </c>
      <c r="J7" s="2" t="s">
        <v>51</v>
      </c>
      <c r="K7" s="2" t="s">
        <v>51</v>
      </c>
      <c r="L7" s="2" t="s">
        <v>51</v>
      </c>
    </row>
    <row r="8" spans="1:12" ht="15" thickBot="1" x14ac:dyDescent="0.35">
      <c r="A8" s="5" t="s">
        <v>52</v>
      </c>
      <c r="B8" s="6" t="s">
        <v>53</v>
      </c>
      <c r="C8" s="6" t="s">
        <v>54</v>
      </c>
      <c r="D8" s="6" t="s">
        <v>55</v>
      </c>
      <c r="E8" s="6" t="s">
        <v>56</v>
      </c>
      <c r="F8" s="6" t="s">
        <v>57</v>
      </c>
      <c r="G8" s="6" t="s">
        <v>58</v>
      </c>
      <c r="H8" s="6" t="s">
        <v>59</v>
      </c>
      <c r="I8" s="6" t="s">
        <v>60</v>
      </c>
      <c r="J8" s="6" t="s">
        <v>61</v>
      </c>
      <c r="K8" s="6" t="s">
        <v>62</v>
      </c>
      <c r="L8" s="6" t="s">
        <v>63</v>
      </c>
    </row>
    <row r="9" spans="1:12" x14ac:dyDescent="0.3">
      <c r="A9" s="1" t="s">
        <v>69</v>
      </c>
      <c r="B9" s="2" t="s">
        <v>23</v>
      </c>
      <c r="C9" s="2" t="s">
        <v>23</v>
      </c>
      <c r="D9" s="2" t="s">
        <v>23</v>
      </c>
      <c r="E9" s="2" t="s">
        <v>23</v>
      </c>
      <c r="F9" s="2" t="s">
        <v>23</v>
      </c>
      <c r="G9" s="2" t="s">
        <v>23</v>
      </c>
      <c r="H9" s="2" t="s">
        <v>23</v>
      </c>
      <c r="I9" s="2" t="s">
        <v>23</v>
      </c>
      <c r="J9" s="2" t="s">
        <v>23</v>
      </c>
      <c r="K9" s="2" t="s">
        <v>23</v>
      </c>
      <c r="L9" s="2" t="s">
        <v>23</v>
      </c>
    </row>
    <row r="10" spans="1:12" x14ac:dyDescent="0.3">
      <c r="A10" s="1" t="s">
        <v>70</v>
      </c>
      <c r="B10" s="2" t="s">
        <v>49</v>
      </c>
      <c r="C10" s="2" t="s">
        <v>49</v>
      </c>
      <c r="D10" s="2" t="s">
        <v>50</v>
      </c>
      <c r="E10" s="2" t="s">
        <v>42</v>
      </c>
      <c r="F10" s="2" t="s">
        <v>42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42</v>
      </c>
      <c r="L10" s="2" t="s">
        <v>42</v>
      </c>
    </row>
    <row r="11" spans="1:12" x14ac:dyDescent="0.3">
      <c r="A11" s="2" t="s">
        <v>73</v>
      </c>
      <c r="B11" s="2" t="s">
        <v>64</v>
      </c>
      <c r="C11" s="2" t="s">
        <v>64</v>
      </c>
      <c r="D11" s="2" t="s">
        <v>64</v>
      </c>
      <c r="E11" s="2" t="s">
        <v>64</v>
      </c>
      <c r="F11" s="2" t="s">
        <v>64</v>
      </c>
      <c r="G11" s="2" t="s">
        <v>64</v>
      </c>
      <c r="H11" s="2" t="s">
        <v>64</v>
      </c>
      <c r="I11" s="2" t="s">
        <v>64</v>
      </c>
      <c r="J11" s="2" t="s">
        <v>51</v>
      </c>
      <c r="K11" s="2" t="s">
        <v>51</v>
      </c>
      <c r="L11" s="2" t="s">
        <v>51</v>
      </c>
    </row>
    <row r="12" spans="1:12" x14ac:dyDescent="0.3">
      <c r="A12" s="1" t="s">
        <v>71</v>
      </c>
      <c r="B12" s="2" t="s">
        <v>49</v>
      </c>
      <c r="C12" s="2" t="s">
        <v>49</v>
      </c>
      <c r="D12" s="2" t="s">
        <v>50</v>
      </c>
      <c r="E12" s="2" t="s">
        <v>42</v>
      </c>
      <c r="F12" s="2" t="s">
        <v>42</v>
      </c>
      <c r="G12" s="2" t="s">
        <v>46</v>
      </c>
      <c r="H12" s="2" t="s">
        <v>65</v>
      </c>
      <c r="I12" s="2" t="s">
        <v>65</v>
      </c>
      <c r="J12" s="2" t="s">
        <v>66</v>
      </c>
      <c r="K12" s="2" t="s">
        <v>66</v>
      </c>
      <c r="L12" s="2" t="s">
        <v>67</v>
      </c>
    </row>
    <row r="13" spans="1:12" x14ac:dyDescent="0.3">
      <c r="A13" s="2" t="s">
        <v>73</v>
      </c>
      <c r="B13" s="2" t="s">
        <v>64</v>
      </c>
      <c r="C13" s="2" t="s">
        <v>64</v>
      </c>
      <c r="D13" s="2" t="s">
        <v>64</v>
      </c>
      <c r="E13" s="2" t="s">
        <v>64</v>
      </c>
      <c r="F13" s="2" t="s">
        <v>64</v>
      </c>
      <c r="G13" s="2" t="s">
        <v>64</v>
      </c>
      <c r="H13" s="2" t="s">
        <v>64</v>
      </c>
      <c r="I13" s="2" t="s">
        <v>64</v>
      </c>
      <c r="J13" s="2" t="s">
        <v>64</v>
      </c>
      <c r="K13" s="2" t="s">
        <v>64</v>
      </c>
      <c r="L13" s="2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Q29"/>
  <sheetViews>
    <sheetView zoomScale="85" zoomScaleNormal="85" workbookViewId="0">
      <selection activeCell="N18" sqref="N16:N18"/>
    </sheetView>
  </sheetViews>
  <sheetFormatPr defaultRowHeight="14.4" x14ac:dyDescent="0.3"/>
  <cols>
    <col min="1" max="1" width="44" bestFit="1" customWidth="1"/>
    <col min="2" max="12" width="12.109375" customWidth="1"/>
    <col min="14" max="14" width="25.33203125" bestFit="1" customWidth="1"/>
    <col min="15" max="15" width="7" bestFit="1" customWidth="1"/>
    <col min="16" max="16" width="10.6640625" bestFit="1" customWidth="1"/>
    <col min="17" max="17" width="11.33203125" bestFit="1" customWidth="1"/>
  </cols>
  <sheetData>
    <row r="1" spans="1:17" x14ac:dyDescent="0.3">
      <c r="A1" t="s">
        <v>74</v>
      </c>
      <c r="B1" t="s">
        <v>75</v>
      </c>
    </row>
    <row r="2" spans="1:17" x14ac:dyDescent="0.3">
      <c r="A2" t="s">
        <v>76</v>
      </c>
      <c r="B2" s="9">
        <v>0.2</v>
      </c>
    </row>
    <row r="3" spans="1:17" x14ac:dyDescent="0.3">
      <c r="A3" t="s">
        <v>77</v>
      </c>
      <c r="B3" s="9">
        <v>0.04</v>
      </c>
      <c r="O3" s="9"/>
      <c r="P3" s="9"/>
      <c r="Q3" s="13"/>
    </row>
    <row r="4" spans="1:17" x14ac:dyDescent="0.3">
      <c r="A4" t="s">
        <v>78</v>
      </c>
      <c r="B4" s="9">
        <v>0.25</v>
      </c>
      <c r="O4" s="9"/>
      <c r="P4" s="9"/>
      <c r="Q4" s="13"/>
    </row>
    <row r="5" spans="1:17" x14ac:dyDescent="0.3">
      <c r="A5" t="s">
        <v>79</v>
      </c>
      <c r="B5">
        <v>0</v>
      </c>
      <c r="O5" s="14"/>
      <c r="P5" s="9"/>
      <c r="Q5" s="15"/>
    </row>
    <row r="6" spans="1:17" x14ac:dyDescent="0.3">
      <c r="A6" t="s">
        <v>80</v>
      </c>
      <c r="B6" s="10">
        <v>46112</v>
      </c>
      <c r="O6" s="14"/>
      <c r="P6" s="9"/>
      <c r="Q6" s="15"/>
    </row>
    <row r="7" spans="1:17" ht="15" thickBot="1" x14ac:dyDescent="0.35">
      <c r="A7" s="7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8" t="s">
        <v>6</v>
      </c>
      <c r="H7" s="8" t="s">
        <v>7</v>
      </c>
      <c r="I7" s="8" t="s">
        <v>8</v>
      </c>
      <c r="J7" s="8" t="s">
        <v>9</v>
      </c>
      <c r="K7" s="8" t="s">
        <v>10</v>
      </c>
      <c r="L7" s="8" t="s">
        <v>11</v>
      </c>
      <c r="O7" s="9"/>
      <c r="P7" s="9"/>
      <c r="Q7" s="13"/>
    </row>
    <row r="8" spans="1:17" x14ac:dyDescent="0.3">
      <c r="A8" s="1" t="s">
        <v>68</v>
      </c>
      <c r="B8" s="2">
        <v>10</v>
      </c>
      <c r="C8" s="2">
        <v>11.5</v>
      </c>
      <c r="D8" s="2">
        <v>15</v>
      </c>
      <c r="E8" s="2">
        <v>18.7</v>
      </c>
      <c r="F8" s="2">
        <v>22.4</v>
      </c>
      <c r="G8" s="2">
        <v>25.8</v>
      </c>
      <c r="H8" s="2">
        <v>28.4</v>
      </c>
      <c r="I8" s="2">
        <v>30.9</v>
      </c>
      <c r="J8" s="2">
        <v>33.4</v>
      </c>
      <c r="K8" s="2">
        <v>35.700000000000003</v>
      </c>
      <c r="L8" s="2">
        <v>37.9</v>
      </c>
      <c r="O8" s="9"/>
      <c r="Q8" s="13"/>
    </row>
    <row r="9" spans="1:17" x14ac:dyDescent="0.3">
      <c r="A9" s="2" t="s">
        <v>72</v>
      </c>
      <c r="B9" s="1"/>
      <c r="C9" s="2">
        <v>0.15</v>
      </c>
      <c r="D9" s="2">
        <v>0.3</v>
      </c>
      <c r="E9" s="2">
        <v>0.25</v>
      </c>
      <c r="F9" s="2">
        <v>0.2</v>
      </c>
      <c r="G9" s="2">
        <v>0.15</v>
      </c>
      <c r="H9" s="2">
        <v>0.1</v>
      </c>
      <c r="I9" s="2">
        <v>0.09</v>
      </c>
      <c r="J9" s="2">
        <v>0.08</v>
      </c>
      <c r="K9" s="2">
        <v>7.0000000000000007E-2</v>
      </c>
      <c r="L9" s="2">
        <v>0.06</v>
      </c>
      <c r="Q9" s="13"/>
    </row>
    <row r="10" spans="1:17" x14ac:dyDescent="0.3">
      <c r="A10" s="1" t="s">
        <v>30</v>
      </c>
      <c r="B10" s="2">
        <v>3.5</v>
      </c>
      <c r="C10" s="2">
        <v>4.3</v>
      </c>
      <c r="D10" s="2">
        <v>6</v>
      </c>
      <c r="E10" s="2">
        <v>8</v>
      </c>
      <c r="F10" s="2">
        <v>10.3</v>
      </c>
      <c r="G10" s="2">
        <v>12.9</v>
      </c>
      <c r="H10" s="2">
        <v>14.2</v>
      </c>
      <c r="I10" s="2">
        <v>15.5</v>
      </c>
      <c r="J10" s="2">
        <v>16.7</v>
      </c>
      <c r="K10" s="2">
        <v>17.899999999999999</v>
      </c>
      <c r="L10" s="2">
        <v>18.899999999999999</v>
      </c>
    </row>
    <row r="11" spans="1:17" x14ac:dyDescent="0.3">
      <c r="A11" s="2" t="s">
        <v>73</v>
      </c>
      <c r="B11" s="2">
        <v>0.35</v>
      </c>
      <c r="C11" s="2">
        <v>0.37</v>
      </c>
      <c r="D11" s="2">
        <v>0.4</v>
      </c>
      <c r="E11" s="2">
        <v>0.43</v>
      </c>
      <c r="F11" s="2">
        <v>0.46</v>
      </c>
      <c r="G11" s="2">
        <v>0.5</v>
      </c>
      <c r="H11" s="2">
        <v>0.5</v>
      </c>
      <c r="I11" s="2">
        <v>0.5</v>
      </c>
      <c r="J11" s="2">
        <v>0.5</v>
      </c>
      <c r="K11" s="2">
        <v>0.5</v>
      </c>
      <c r="L11" s="2">
        <v>0.5</v>
      </c>
    </row>
    <row r="12" spans="1:17" x14ac:dyDescent="0.3">
      <c r="A12" s="1" t="s">
        <v>47</v>
      </c>
      <c r="B12" s="2">
        <v>0.1</v>
      </c>
      <c r="C12" s="2">
        <v>0.1</v>
      </c>
      <c r="D12" s="2">
        <v>0.1</v>
      </c>
      <c r="E12" s="2">
        <v>0.2</v>
      </c>
      <c r="F12" s="2">
        <v>0.2</v>
      </c>
      <c r="G12" s="2">
        <v>0.3</v>
      </c>
      <c r="H12" s="2">
        <v>0.3</v>
      </c>
      <c r="I12" s="2">
        <v>0.3</v>
      </c>
      <c r="J12" s="2">
        <v>0.3</v>
      </c>
      <c r="K12" s="2">
        <v>0.4</v>
      </c>
      <c r="L12" s="2">
        <v>0.4</v>
      </c>
    </row>
    <row r="13" spans="1:17" ht="15" thickBot="1" x14ac:dyDescent="0.35">
      <c r="A13" s="2" t="s">
        <v>73</v>
      </c>
      <c r="B13" s="2">
        <v>0.01</v>
      </c>
      <c r="C13" s="2">
        <v>0.01</v>
      </c>
      <c r="D13" s="2">
        <v>0.01</v>
      </c>
      <c r="E13" s="2">
        <v>0.01</v>
      </c>
      <c r="F13" s="2">
        <v>0.01</v>
      </c>
      <c r="G13" s="2">
        <v>0.01</v>
      </c>
      <c r="H13" s="2">
        <v>0.01</v>
      </c>
      <c r="I13" s="2">
        <v>0.01</v>
      </c>
      <c r="J13" s="2">
        <v>0.01</v>
      </c>
      <c r="K13" s="2">
        <v>0.01</v>
      </c>
      <c r="L13" s="2">
        <v>0.01</v>
      </c>
    </row>
    <row r="14" spans="1:17" ht="15" thickBot="1" x14ac:dyDescent="0.35">
      <c r="A14" s="5" t="s">
        <v>52</v>
      </c>
      <c r="B14" s="6">
        <v>2.6</v>
      </c>
      <c r="C14" s="6">
        <v>3.1</v>
      </c>
      <c r="D14" s="6">
        <v>4.4000000000000004</v>
      </c>
      <c r="E14" s="6">
        <v>5.9</v>
      </c>
      <c r="F14" s="6">
        <v>7.6</v>
      </c>
      <c r="G14" s="6">
        <v>9.5</v>
      </c>
      <c r="H14" s="6">
        <v>10.4</v>
      </c>
      <c r="I14" s="6">
        <v>11.4</v>
      </c>
      <c r="J14" s="6">
        <v>12.3</v>
      </c>
      <c r="K14" s="6">
        <v>13.1</v>
      </c>
      <c r="L14" s="6">
        <v>13.9</v>
      </c>
    </row>
    <row r="15" spans="1:17" x14ac:dyDescent="0.3">
      <c r="A15" s="2" t="s">
        <v>69</v>
      </c>
      <c r="B15" s="2">
        <v>0.25</v>
      </c>
      <c r="C15" s="2">
        <v>0.25</v>
      </c>
      <c r="D15" s="2">
        <v>0.25</v>
      </c>
      <c r="E15" s="2">
        <v>0.25</v>
      </c>
      <c r="F15" s="2">
        <v>0.25</v>
      </c>
      <c r="G15" s="2">
        <v>0.25</v>
      </c>
      <c r="H15" s="2">
        <v>0.25</v>
      </c>
      <c r="I15" s="2">
        <v>0.25</v>
      </c>
      <c r="J15" s="2">
        <v>0.25</v>
      </c>
      <c r="K15" s="2">
        <v>0.25</v>
      </c>
      <c r="L15" s="2">
        <v>0.25</v>
      </c>
    </row>
    <row r="16" spans="1:17" x14ac:dyDescent="0.3">
      <c r="A16" s="1" t="s">
        <v>70</v>
      </c>
      <c r="B16" s="2">
        <v>0.2</v>
      </c>
      <c r="C16" s="2">
        <v>0.2</v>
      </c>
      <c r="D16" s="2">
        <v>0.3</v>
      </c>
      <c r="E16" s="2">
        <v>0.4</v>
      </c>
      <c r="F16" s="2">
        <v>0.4</v>
      </c>
      <c r="G16" s="2">
        <v>0.5</v>
      </c>
      <c r="H16" s="2">
        <v>0.5</v>
      </c>
      <c r="I16" s="2">
        <v>0.5</v>
      </c>
      <c r="J16" s="2">
        <v>0.5</v>
      </c>
      <c r="K16" s="2">
        <v>0.4</v>
      </c>
      <c r="L16" s="2">
        <v>0.4</v>
      </c>
    </row>
    <row r="17" spans="1:12" x14ac:dyDescent="0.3">
      <c r="A17" s="2" t="s">
        <v>73</v>
      </c>
      <c r="B17" s="2">
        <v>0.02</v>
      </c>
      <c r="C17" s="2">
        <v>0.02</v>
      </c>
      <c r="D17" s="2">
        <v>0.02</v>
      </c>
      <c r="E17" s="2">
        <v>0.02</v>
      </c>
      <c r="F17" s="2">
        <v>0.02</v>
      </c>
      <c r="G17" s="2">
        <v>0.02</v>
      </c>
      <c r="H17" s="2">
        <v>0.02</v>
      </c>
      <c r="I17" s="2">
        <v>0.02</v>
      </c>
      <c r="J17" s="2">
        <v>0.01</v>
      </c>
      <c r="K17" s="2">
        <v>0.01</v>
      </c>
      <c r="L17" s="2">
        <v>0.01</v>
      </c>
    </row>
    <row r="18" spans="1:12" x14ac:dyDescent="0.3">
      <c r="A18" s="1" t="s">
        <v>71</v>
      </c>
      <c r="B18" s="2">
        <v>0.2</v>
      </c>
      <c r="C18" s="2">
        <v>0.2</v>
      </c>
      <c r="D18" s="2">
        <v>0.3</v>
      </c>
      <c r="E18" s="2">
        <v>0.4</v>
      </c>
      <c r="F18" s="2">
        <v>0.4</v>
      </c>
      <c r="G18" s="2">
        <v>0.5</v>
      </c>
      <c r="H18" s="2">
        <v>0.6</v>
      </c>
      <c r="I18" s="2">
        <v>0.6</v>
      </c>
      <c r="J18" s="2">
        <v>0.7</v>
      </c>
      <c r="K18" s="2">
        <v>0.7</v>
      </c>
      <c r="L18" s="2">
        <v>0.8</v>
      </c>
    </row>
    <row r="19" spans="1:12" x14ac:dyDescent="0.3">
      <c r="A19" s="2" t="s">
        <v>73</v>
      </c>
      <c r="B19" s="2">
        <v>0.02</v>
      </c>
      <c r="C19" s="2">
        <v>0.02</v>
      </c>
      <c r="D19" s="2">
        <v>0.02</v>
      </c>
      <c r="E19" s="2">
        <v>0.02</v>
      </c>
      <c r="F19" s="2">
        <v>0.02</v>
      </c>
      <c r="G19" s="2">
        <v>0.02</v>
      </c>
      <c r="H19" s="2">
        <v>0.02</v>
      </c>
      <c r="I19" s="2">
        <v>0.02</v>
      </c>
      <c r="J19" s="2">
        <v>0.02</v>
      </c>
      <c r="K19" s="2">
        <v>0.02</v>
      </c>
      <c r="L19" s="2">
        <v>0.02</v>
      </c>
    </row>
    <row r="20" spans="1:12" ht="15" thickBot="1" x14ac:dyDescent="0.35">
      <c r="A20" s="12" t="s">
        <v>81</v>
      </c>
      <c r="B20" s="12"/>
      <c r="C20" s="19">
        <f t="shared" ref="C20:L20" si="0">C14+C12-C16-C18</f>
        <v>2.8</v>
      </c>
      <c r="D20" s="12">
        <f t="shared" si="0"/>
        <v>3.9000000000000004</v>
      </c>
      <c r="E20" s="12">
        <f t="shared" si="0"/>
        <v>5.3</v>
      </c>
      <c r="F20" s="12">
        <f t="shared" si="0"/>
        <v>6.9999999999999991</v>
      </c>
      <c r="G20" s="12">
        <f t="shared" si="0"/>
        <v>8.8000000000000007</v>
      </c>
      <c r="H20" s="12">
        <f t="shared" si="0"/>
        <v>9.6000000000000014</v>
      </c>
      <c r="I20" s="12">
        <f t="shared" si="0"/>
        <v>10.600000000000001</v>
      </c>
      <c r="J20" s="12">
        <f t="shared" si="0"/>
        <v>11.400000000000002</v>
      </c>
      <c r="K20" s="12">
        <f t="shared" si="0"/>
        <v>12.4</v>
      </c>
      <c r="L20" s="12">
        <f t="shared" si="0"/>
        <v>13.1</v>
      </c>
    </row>
    <row r="21" spans="1:12" x14ac:dyDescent="0.3">
      <c r="A21" t="s">
        <v>84</v>
      </c>
      <c r="C21">
        <v>0.5</v>
      </c>
      <c r="D21">
        <f t="shared" ref="D21:L21" si="1">C21+1</f>
        <v>1.5</v>
      </c>
      <c r="E21">
        <f t="shared" si="1"/>
        <v>2.5</v>
      </c>
      <c r="F21">
        <f t="shared" si="1"/>
        <v>3.5</v>
      </c>
      <c r="G21">
        <f t="shared" si="1"/>
        <v>4.5</v>
      </c>
      <c r="H21">
        <f t="shared" si="1"/>
        <v>5.5</v>
      </c>
      <c r="I21">
        <f t="shared" si="1"/>
        <v>6.5</v>
      </c>
      <c r="J21">
        <f t="shared" si="1"/>
        <v>7.5</v>
      </c>
      <c r="K21">
        <f t="shared" si="1"/>
        <v>8.5</v>
      </c>
      <c r="L21">
        <f t="shared" si="1"/>
        <v>9.5</v>
      </c>
    </row>
    <row r="22" spans="1:12" x14ac:dyDescent="0.3">
      <c r="A22" t="s">
        <v>82</v>
      </c>
      <c r="C22" s="11">
        <f t="shared" ref="C22:L22" si="2">1/(1+$B$2)^C21</f>
        <v>0.9128709291752769</v>
      </c>
      <c r="D22" s="11">
        <f t="shared" si="2"/>
        <v>0.7607257743127307</v>
      </c>
      <c r="E22" s="11">
        <f t="shared" si="2"/>
        <v>0.63393814526060899</v>
      </c>
      <c r="F22" s="11">
        <f t="shared" si="2"/>
        <v>0.52828178771717416</v>
      </c>
      <c r="G22" s="11">
        <f t="shared" si="2"/>
        <v>0.44023482309764517</v>
      </c>
      <c r="H22" s="11">
        <f t="shared" si="2"/>
        <v>0.36686235258137107</v>
      </c>
      <c r="I22" s="11">
        <f t="shared" si="2"/>
        <v>0.30571862715114251</v>
      </c>
      <c r="J22" s="11">
        <f t="shared" si="2"/>
        <v>0.25476552262595203</v>
      </c>
      <c r="K22" s="11">
        <f t="shared" si="2"/>
        <v>0.21230460218829345</v>
      </c>
      <c r="L22" s="11">
        <f t="shared" si="2"/>
        <v>0.17692050182357785</v>
      </c>
    </row>
    <row r="23" spans="1:12" x14ac:dyDescent="0.3">
      <c r="A23" t="s">
        <v>87</v>
      </c>
      <c r="C23" s="11">
        <f t="shared" ref="C23:L23" si="3">C20*C22</f>
        <v>2.556038601690775</v>
      </c>
      <c r="D23" s="11">
        <f t="shared" si="3"/>
        <v>2.9668305198196498</v>
      </c>
      <c r="E23" s="11">
        <f t="shared" si="3"/>
        <v>3.3598721698812275</v>
      </c>
      <c r="F23" s="11">
        <f t="shared" si="3"/>
        <v>3.6979725140202184</v>
      </c>
      <c r="G23" s="11">
        <f t="shared" si="3"/>
        <v>3.8740664432592777</v>
      </c>
      <c r="H23" s="11">
        <f t="shared" si="3"/>
        <v>3.5218785847811627</v>
      </c>
      <c r="I23" s="11">
        <f t="shared" si="3"/>
        <v>3.2406174478021108</v>
      </c>
      <c r="J23" s="11">
        <f t="shared" si="3"/>
        <v>2.9043269579358539</v>
      </c>
      <c r="K23" s="11">
        <f t="shared" si="3"/>
        <v>2.632577067134839</v>
      </c>
      <c r="L23" s="11">
        <f t="shared" si="3"/>
        <v>2.31765857388887</v>
      </c>
    </row>
    <row r="24" spans="1:12" x14ac:dyDescent="0.3">
      <c r="A24" t="s">
        <v>88</v>
      </c>
      <c r="B24" s="11">
        <f>SUM(C23:L23)</f>
        <v>31.071838880213988</v>
      </c>
    </row>
    <row r="25" spans="1:12" x14ac:dyDescent="0.3">
      <c r="A25" t="s">
        <v>83</v>
      </c>
      <c r="B25" s="11">
        <f>L20*(1+B3)</f>
        <v>13.624000000000001</v>
      </c>
    </row>
    <row r="26" spans="1:12" x14ac:dyDescent="0.3">
      <c r="A26" t="s">
        <v>85</v>
      </c>
      <c r="B26" s="11">
        <f>B25*(1+$B$3)/($B$2-$B$3)</f>
        <v>88.555999999999997</v>
      </c>
    </row>
    <row r="27" spans="1:12" x14ac:dyDescent="0.3">
      <c r="A27" t="s">
        <v>89</v>
      </c>
      <c r="B27" s="11">
        <f>B26/(1+$B$2)^10</f>
        <v>14.302288398393179</v>
      </c>
    </row>
    <row r="28" spans="1:12" x14ac:dyDescent="0.3">
      <c r="A28" t="s">
        <v>86</v>
      </c>
      <c r="B28" s="11">
        <f>B24+B27</f>
        <v>45.374127278607169</v>
      </c>
    </row>
    <row r="29" spans="1:12" x14ac:dyDescent="0.3">
      <c r="A29" t="s">
        <v>129</v>
      </c>
      <c r="B29" s="29">
        <f>B28/L10</f>
        <v>2.4007474750585804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"/>
  <sheetViews>
    <sheetView zoomScaleNormal="100" workbookViewId="0">
      <selection activeCell="C9" sqref="C9"/>
    </sheetView>
  </sheetViews>
  <sheetFormatPr defaultRowHeight="14.4" x14ac:dyDescent="0.3"/>
  <cols>
    <col min="1" max="1" width="44" bestFit="1" customWidth="1"/>
    <col min="2" max="12" width="12.109375" customWidth="1"/>
    <col min="14" max="14" width="25.6640625" bestFit="1" customWidth="1"/>
    <col min="15" max="15" width="5.6640625" bestFit="1" customWidth="1"/>
    <col min="16" max="16" width="12.5546875" bestFit="1" customWidth="1"/>
    <col min="17" max="18" width="11.44140625" bestFit="1" customWidth="1"/>
  </cols>
  <sheetData>
    <row r="1" spans="1:18" x14ac:dyDescent="0.3">
      <c r="A1" t="s">
        <v>74</v>
      </c>
      <c r="B1" t="s">
        <v>75</v>
      </c>
    </row>
    <row r="2" spans="1:18" x14ac:dyDescent="0.3">
      <c r="A2" t="s">
        <v>76</v>
      </c>
      <c r="B2" s="9">
        <v>0.2</v>
      </c>
    </row>
    <row r="3" spans="1:18" x14ac:dyDescent="0.3">
      <c r="A3" t="s">
        <v>77</v>
      </c>
      <c r="B3" s="9">
        <v>0.04</v>
      </c>
      <c r="N3" s="9"/>
    </row>
    <row r="4" spans="1:18" x14ac:dyDescent="0.3">
      <c r="A4" t="s">
        <v>78</v>
      </c>
      <c r="B4" s="9">
        <v>0.25</v>
      </c>
      <c r="N4" s="9"/>
    </row>
    <row r="5" spans="1:18" x14ac:dyDescent="0.3">
      <c r="A5" t="s">
        <v>79</v>
      </c>
      <c r="B5">
        <v>0</v>
      </c>
      <c r="N5" s="9"/>
    </row>
    <row r="6" spans="1:18" x14ac:dyDescent="0.3">
      <c r="A6" t="s">
        <v>80</v>
      </c>
      <c r="B6" s="10">
        <v>46112</v>
      </c>
      <c r="N6" s="9"/>
    </row>
    <row r="7" spans="1:18" ht="15" thickBot="1" x14ac:dyDescent="0.35">
      <c r="A7" s="7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8" t="s">
        <v>6</v>
      </c>
      <c r="H7" s="8" t="s">
        <v>7</v>
      </c>
      <c r="I7" s="8" t="s">
        <v>8</v>
      </c>
      <c r="J7" s="8" t="s">
        <v>9</v>
      </c>
      <c r="K7" s="8" t="s">
        <v>10</v>
      </c>
      <c r="L7" s="8" t="s">
        <v>11</v>
      </c>
      <c r="N7" s="16" t="s">
        <v>90</v>
      </c>
      <c r="O7" s="16" t="s">
        <v>91</v>
      </c>
      <c r="P7" s="16" t="s">
        <v>92</v>
      </c>
      <c r="Q7" s="16" t="s">
        <v>93</v>
      </c>
    </row>
    <row r="8" spans="1:18" x14ac:dyDescent="0.3">
      <c r="A8" s="1" t="s">
        <v>68</v>
      </c>
      <c r="B8" s="21">
        <v>10</v>
      </c>
      <c r="C8" s="21">
        <f t="shared" ref="C8:L8" si="0">B8+B8*C9</f>
        <v>11.5</v>
      </c>
      <c r="D8" s="21">
        <f t="shared" si="0"/>
        <v>14.95</v>
      </c>
      <c r="E8" s="21">
        <f t="shared" si="0"/>
        <v>18.6875</v>
      </c>
      <c r="F8" s="21">
        <f t="shared" si="0"/>
        <v>22.425000000000001</v>
      </c>
      <c r="G8" s="21">
        <f t="shared" si="0"/>
        <v>25.78875</v>
      </c>
      <c r="H8" s="21">
        <f t="shared" si="0"/>
        <v>28.367625</v>
      </c>
      <c r="I8" s="21">
        <f t="shared" si="0"/>
        <v>30.92071125</v>
      </c>
      <c r="J8" s="21">
        <f t="shared" si="0"/>
        <v>33.394368149999998</v>
      </c>
      <c r="K8" s="21">
        <f t="shared" si="0"/>
        <v>35.731973920499996</v>
      </c>
      <c r="L8" s="21">
        <f t="shared" si="0"/>
        <v>37.875892355729995</v>
      </c>
      <c r="N8" s="17" t="s">
        <v>94</v>
      </c>
      <c r="O8" s="27">
        <v>0.45</v>
      </c>
      <c r="P8" s="26">
        <v>0</v>
      </c>
      <c r="Q8" s="27">
        <f>O8*(1-P8)</f>
        <v>0.45</v>
      </c>
      <c r="R8" s="15"/>
    </row>
    <row r="9" spans="1:18" x14ac:dyDescent="0.3">
      <c r="A9" s="2" t="s">
        <v>72</v>
      </c>
      <c r="B9" s="1"/>
      <c r="C9" s="2">
        <v>0.15</v>
      </c>
      <c r="D9" s="2">
        <v>0.3</v>
      </c>
      <c r="E9" s="2">
        <v>0.25</v>
      </c>
      <c r="F9" s="2">
        <v>0.2</v>
      </c>
      <c r="G9" s="2">
        <v>0.15</v>
      </c>
      <c r="H9" s="2">
        <v>0.1</v>
      </c>
      <c r="I9" s="2">
        <v>0.09</v>
      </c>
      <c r="J9" s="2">
        <v>0.08</v>
      </c>
      <c r="K9" s="2">
        <v>7.0000000000000007E-2</v>
      </c>
      <c r="L9" s="2">
        <v>0.06</v>
      </c>
      <c r="N9" s="17" t="s">
        <v>95</v>
      </c>
      <c r="O9" s="27">
        <v>0.25</v>
      </c>
      <c r="P9" s="26">
        <v>0</v>
      </c>
      <c r="Q9" s="27">
        <f>O9*(1-P9)</f>
        <v>0.25</v>
      </c>
    </row>
    <row r="10" spans="1:18" x14ac:dyDescent="0.3">
      <c r="A10" s="23" t="s">
        <v>100</v>
      </c>
      <c r="B10" s="24">
        <v>10</v>
      </c>
      <c r="C10" s="24">
        <f t="shared" ref="C10:L10" si="1">C8*C11</f>
        <v>11.5</v>
      </c>
      <c r="D10" s="24">
        <f t="shared" si="1"/>
        <v>14.95</v>
      </c>
      <c r="E10" s="24">
        <f t="shared" si="1"/>
        <v>18.6875</v>
      </c>
      <c r="F10" s="24">
        <f t="shared" si="1"/>
        <v>22.425000000000001</v>
      </c>
      <c r="G10" s="24">
        <f t="shared" si="1"/>
        <v>25.78875</v>
      </c>
      <c r="H10" s="24">
        <f t="shared" si="1"/>
        <v>28.367625</v>
      </c>
      <c r="I10" s="24">
        <f t="shared" si="1"/>
        <v>30.92071125</v>
      </c>
      <c r="J10" s="24">
        <f t="shared" si="1"/>
        <v>33.394368149999998</v>
      </c>
      <c r="K10" s="24">
        <f t="shared" si="1"/>
        <v>35.731973920499996</v>
      </c>
      <c r="L10" s="24">
        <f t="shared" si="1"/>
        <v>37.875892355729995</v>
      </c>
      <c r="N10" s="17" t="s">
        <v>96</v>
      </c>
      <c r="O10" s="27">
        <v>0.17499999999999999</v>
      </c>
      <c r="P10" s="26">
        <v>0</v>
      </c>
      <c r="Q10" s="27">
        <f>O10*(1-P10)</f>
        <v>0.17499999999999999</v>
      </c>
    </row>
    <row r="11" spans="1:18" x14ac:dyDescent="0.3">
      <c r="A11" s="2" t="s">
        <v>101</v>
      </c>
      <c r="B11" s="1"/>
      <c r="C11" s="20">
        <f t="shared" ref="C11:L11" si="2">$Q$13</f>
        <v>1</v>
      </c>
      <c r="D11" s="20">
        <f t="shared" si="2"/>
        <v>1</v>
      </c>
      <c r="E11" s="20">
        <f t="shared" si="2"/>
        <v>1</v>
      </c>
      <c r="F11" s="20">
        <f t="shared" si="2"/>
        <v>1</v>
      </c>
      <c r="G11" s="20">
        <f t="shared" si="2"/>
        <v>1</v>
      </c>
      <c r="H11" s="20">
        <f t="shared" si="2"/>
        <v>1</v>
      </c>
      <c r="I11" s="20">
        <f t="shared" si="2"/>
        <v>1</v>
      </c>
      <c r="J11" s="20">
        <f t="shared" si="2"/>
        <v>1</v>
      </c>
      <c r="K11" s="20">
        <f t="shared" si="2"/>
        <v>1</v>
      </c>
      <c r="L11" s="20">
        <f t="shared" si="2"/>
        <v>1</v>
      </c>
      <c r="N11" s="17" t="s">
        <v>97</v>
      </c>
      <c r="O11" s="27">
        <v>7.4999999999999997E-2</v>
      </c>
      <c r="P11" s="26">
        <v>0</v>
      </c>
      <c r="Q11" s="27">
        <f>O11*(1-P11)</f>
        <v>7.4999999999999997E-2</v>
      </c>
    </row>
    <row r="12" spans="1:18" x14ac:dyDescent="0.3">
      <c r="A12" s="1" t="s">
        <v>30</v>
      </c>
      <c r="B12" s="21">
        <f>B10*B13</f>
        <v>3.5</v>
      </c>
      <c r="C12" s="21">
        <f>C10*C13</f>
        <v>4.2549999999999999</v>
      </c>
      <c r="D12" s="21">
        <f t="shared" ref="D12:L12" si="3">D10*D13</f>
        <v>5.98</v>
      </c>
      <c r="E12" s="21">
        <f t="shared" si="3"/>
        <v>8.0356249999999996</v>
      </c>
      <c r="F12" s="21">
        <f t="shared" si="3"/>
        <v>10.3155</v>
      </c>
      <c r="G12" s="21">
        <f t="shared" si="3"/>
        <v>12.894375</v>
      </c>
      <c r="H12" s="21">
        <f t="shared" si="3"/>
        <v>14.1838125</v>
      </c>
      <c r="I12" s="21">
        <f t="shared" si="3"/>
        <v>15.460355625</v>
      </c>
      <c r="J12" s="21">
        <f t="shared" si="3"/>
        <v>16.697184074999999</v>
      </c>
      <c r="K12" s="21">
        <f t="shared" si="3"/>
        <v>17.865986960249998</v>
      </c>
      <c r="L12" s="21">
        <f t="shared" si="3"/>
        <v>18.937946177864998</v>
      </c>
      <c r="N12" s="17" t="s">
        <v>98</v>
      </c>
      <c r="O12" s="27">
        <v>0.05</v>
      </c>
      <c r="P12" s="26">
        <v>0</v>
      </c>
      <c r="Q12" s="27">
        <f>O12*(1-P12)</f>
        <v>0.05</v>
      </c>
    </row>
    <row r="13" spans="1:18" x14ac:dyDescent="0.3">
      <c r="A13" s="2" t="s">
        <v>73</v>
      </c>
      <c r="B13" s="2">
        <v>0.35</v>
      </c>
      <c r="C13" s="2">
        <v>0.37</v>
      </c>
      <c r="D13" s="2">
        <v>0.4</v>
      </c>
      <c r="E13" s="2">
        <v>0.43</v>
      </c>
      <c r="F13" s="2">
        <v>0.46</v>
      </c>
      <c r="G13" s="2">
        <v>0.5</v>
      </c>
      <c r="H13" s="2">
        <v>0.5</v>
      </c>
      <c r="I13" s="2">
        <v>0.5</v>
      </c>
      <c r="J13" s="2">
        <v>0.5</v>
      </c>
      <c r="K13" s="2">
        <v>0.5</v>
      </c>
      <c r="L13" s="2">
        <v>0.5</v>
      </c>
      <c r="N13" s="17" t="s">
        <v>99</v>
      </c>
      <c r="O13" s="18">
        <f>SUM(O8:O12)</f>
        <v>1</v>
      </c>
      <c r="P13" s="17"/>
      <c r="Q13" s="18">
        <f>SUM(Q8:Q12)</f>
        <v>1</v>
      </c>
    </row>
    <row r="14" spans="1:18" x14ac:dyDescent="0.3">
      <c r="A14" s="1" t="s">
        <v>47</v>
      </c>
      <c r="B14" s="21">
        <f>B10*B15</f>
        <v>0.1</v>
      </c>
      <c r="C14" s="21">
        <f t="shared" ref="C14:L14" si="4">C10*C15</f>
        <v>0.115</v>
      </c>
      <c r="D14" s="21">
        <f t="shared" si="4"/>
        <v>0.14949999999999999</v>
      </c>
      <c r="E14" s="21">
        <f t="shared" si="4"/>
        <v>0.18687500000000001</v>
      </c>
      <c r="F14" s="21">
        <f t="shared" si="4"/>
        <v>0.22425</v>
      </c>
      <c r="G14" s="21">
        <f t="shared" si="4"/>
        <v>0.25788749999999999</v>
      </c>
      <c r="H14" s="21">
        <f t="shared" si="4"/>
        <v>0.28367625000000002</v>
      </c>
      <c r="I14" s="21">
        <f t="shared" si="4"/>
        <v>0.30920711249999999</v>
      </c>
      <c r="J14" s="21">
        <f t="shared" si="4"/>
        <v>0.33394368149999998</v>
      </c>
      <c r="K14" s="21">
        <f t="shared" si="4"/>
        <v>0.35731973920499999</v>
      </c>
      <c r="L14" s="21">
        <f t="shared" si="4"/>
        <v>0.37875892355729995</v>
      </c>
    </row>
    <row r="15" spans="1:18" ht="15" thickBot="1" x14ac:dyDescent="0.35">
      <c r="A15" s="2" t="s">
        <v>73</v>
      </c>
      <c r="B15" s="2">
        <v>0.01</v>
      </c>
      <c r="C15" s="2">
        <v>0.01</v>
      </c>
      <c r="D15" s="2">
        <v>0.01</v>
      </c>
      <c r="E15" s="2">
        <v>0.01</v>
      </c>
      <c r="F15" s="2">
        <v>0.01</v>
      </c>
      <c r="G15" s="2">
        <v>0.01</v>
      </c>
      <c r="H15" s="2">
        <v>0.01</v>
      </c>
      <c r="I15" s="2">
        <v>0.01</v>
      </c>
      <c r="J15" s="2">
        <v>0.01</v>
      </c>
      <c r="K15" s="2">
        <v>0.01</v>
      </c>
      <c r="L15" s="2">
        <v>0.01</v>
      </c>
    </row>
    <row r="16" spans="1:18" ht="15" thickBot="1" x14ac:dyDescent="0.35">
      <c r="A16" s="5" t="s">
        <v>52</v>
      </c>
      <c r="B16" s="22">
        <f>(B12-B14)*(1-B17)</f>
        <v>2.5499999999999998</v>
      </c>
      <c r="C16" s="22">
        <f t="shared" ref="C16:L16" si="5">(C12-C14)*(1-C17)</f>
        <v>3.1049999999999995</v>
      </c>
      <c r="D16" s="22">
        <f t="shared" si="5"/>
        <v>4.3728750000000005</v>
      </c>
      <c r="E16" s="22">
        <f t="shared" si="5"/>
        <v>5.8865625000000001</v>
      </c>
      <c r="F16" s="22">
        <f t="shared" si="5"/>
        <v>7.5684374999999999</v>
      </c>
      <c r="G16" s="22">
        <f t="shared" si="5"/>
        <v>9.4773656249999991</v>
      </c>
      <c r="H16" s="22">
        <f t="shared" si="5"/>
        <v>10.4251021875</v>
      </c>
      <c r="I16" s="22">
        <f t="shared" si="5"/>
        <v>11.363361384375001</v>
      </c>
      <c r="J16" s="22">
        <f t="shared" si="5"/>
        <v>12.272430295125</v>
      </c>
      <c r="K16" s="22">
        <f t="shared" si="5"/>
        <v>13.131500415783748</v>
      </c>
      <c r="L16" s="22">
        <f t="shared" si="5"/>
        <v>13.919390440730773</v>
      </c>
    </row>
    <row r="17" spans="1:26" x14ac:dyDescent="0.3">
      <c r="A17" s="2" t="s">
        <v>69</v>
      </c>
      <c r="B17" s="2">
        <v>0.25</v>
      </c>
      <c r="C17" s="2">
        <v>0.25</v>
      </c>
      <c r="D17" s="2">
        <v>0.25</v>
      </c>
      <c r="E17" s="2">
        <v>0.25</v>
      </c>
      <c r="F17" s="2">
        <v>0.25</v>
      </c>
      <c r="G17" s="2">
        <v>0.25</v>
      </c>
      <c r="H17" s="2">
        <v>0.25</v>
      </c>
      <c r="I17" s="2">
        <v>0.25</v>
      </c>
      <c r="J17" s="2">
        <v>0.25</v>
      </c>
      <c r="K17" s="2">
        <v>0.25</v>
      </c>
      <c r="L17" s="2">
        <v>0.25</v>
      </c>
      <c r="O17" s="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3">
      <c r="A18" s="1" t="s">
        <v>70</v>
      </c>
      <c r="B18" s="21">
        <f>B10*B19</f>
        <v>0.2</v>
      </c>
      <c r="C18" s="21">
        <f t="shared" ref="C18:L18" si="6">C10*C19</f>
        <v>0.23</v>
      </c>
      <c r="D18" s="21">
        <f t="shared" si="6"/>
        <v>0.29899999999999999</v>
      </c>
      <c r="E18" s="21">
        <f t="shared" si="6"/>
        <v>0.37375000000000003</v>
      </c>
      <c r="F18" s="21">
        <f t="shared" si="6"/>
        <v>0.44850000000000001</v>
      </c>
      <c r="G18" s="21">
        <f t="shared" si="6"/>
        <v>0.51577499999999998</v>
      </c>
      <c r="H18" s="21">
        <f t="shared" si="6"/>
        <v>0.56735250000000004</v>
      </c>
      <c r="I18" s="21">
        <f t="shared" si="6"/>
        <v>0.61841422499999998</v>
      </c>
      <c r="J18" s="21">
        <f t="shared" si="6"/>
        <v>0.33394368149999998</v>
      </c>
      <c r="K18" s="21">
        <f t="shared" si="6"/>
        <v>0.35731973920499999</v>
      </c>
      <c r="L18" s="21">
        <f t="shared" si="6"/>
        <v>0.37875892355729995</v>
      </c>
    </row>
    <row r="19" spans="1:26" x14ac:dyDescent="0.3">
      <c r="A19" s="2" t="s">
        <v>73</v>
      </c>
      <c r="B19" s="2">
        <v>0.02</v>
      </c>
      <c r="C19" s="2">
        <v>0.02</v>
      </c>
      <c r="D19" s="2">
        <v>0.02</v>
      </c>
      <c r="E19" s="2">
        <v>0.02</v>
      </c>
      <c r="F19" s="2">
        <v>0.02</v>
      </c>
      <c r="G19" s="2">
        <v>0.02</v>
      </c>
      <c r="H19" s="2">
        <v>0.02</v>
      </c>
      <c r="I19" s="2">
        <v>0.02</v>
      </c>
      <c r="J19" s="2">
        <v>0.01</v>
      </c>
      <c r="K19" s="2">
        <v>0.01</v>
      </c>
      <c r="L19" s="2">
        <v>0.01</v>
      </c>
    </row>
    <row r="20" spans="1:26" x14ac:dyDescent="0.3">
      <c r="A20" s="1" t="s">
        <v>71</v>
      </c>
      <c r="B20" s="21">
        <f>B10*B21</f>
        <v>0.2</v>
      </c>
      <c r="C20" s="21">
        <f t="shared" ref="C20:K20" si="7">C10*C21</f>
        <v>0.23</v>
      </c>
      <c r="D20" s="21">
        <f t="shared" si="7"/>
        <v>0.29899999999999999</v>
      </c>
      <c r="E20" s="21">
        <f t="shared" si="7"/>
        <v>0.37375000000000003</v>
      </c>
      <c r="F20" s="21">
        <f t="shared" si="7"/>
        <v>0.44850000000000001</v>
      </c>
      <c r="G20" s="21">
        <f t="shared" si="7"/>
        <v>0.51577499999999998</v>
      </c>
      <c r="H20" s="21">
        <f t="shared" si="7"/>
        <v>0.56735250000000004</v>
      </c>
      <c r="I20" s="21">
        <f t="shared" si="7"/>
        <v>0.61841422499999998</v>
      </c>
      <c r="J20" s="21">
        <f t="shared" si="7"/>
        <v>0.66788736299999996</v>
      </c>
      <c r="K20" s="21">
        <f t="shared" si="7"/>
        <v>0.71463947840999997</v>
      </c>
      <c r="L20" s="21">
        <f>L10*L21</f>
        <v>0.75751784711459991</v>
      </c>
    </row>
    <row r="21" spans="1:26" x14ac:dyDescent="0.3">
      <c r="A21" s="2" t="s">
        <v>73</v>
      </c>
      <c r="B21" s="2">
        <v>0.02</v>
      </c>
      <c r="C21" s="2">
        <v>0.02</v>
      </c>
      <c r="D21" s="2">
        <v>0.02</v>
      </c>
      <c r="E21" s="2">
        <v>0.02</v>
      </c>
      <c r="F21" s="2">
        <v>0.02</v>
      </c>
      <c r="G21" s="2">
        <v>0.02</v>
      </c>
      <c r="H21" s="2">
        <v>0.02</v>
      </c>
      <c r="I21" s="2">
        <v>0.02</v>
      </c>
      <c r="J21" s="2">
        <v>0.02</v>
      </c>
      <c r="K21" s="2">
        <v>0.02</v>
      </c>
      <c r="L21" s="2">
        <v>0.02</v>
      </c>
    </row>
    <row r="22" spans="1:26" ht="15" thickBot="1" x14ac:dyDescent="0.35">
      <c r="A22" s="12" t="s">
        <v>81</v>
      </c>
      <c r="B22" s="12"/>
      <c r="C22" s="25">
        <f t="shared" ref="C22:L22" si="8">C16+C14-C18-C20</f>
        <v>2.76</v>
      </c>
      <c r="D22" s="25">
        <f t="shared" si="8"/>
        <v>3.9243749999999999</v>
      </c>
      <c r="E22" s="25">
        <f t="shared" si="8"/>
        <v>5.3259374999999993</v>
      </c>
      <c r="F22" s="25">
        <f t="shared" si="8"/>
        <v>6.8956874999999993</v>
      </c>
      <c r="G22" s="25">
        <f t="shared" si="8"/>
        <v>8.7037031250000005</v>
      </c>
      <c r="H22" s="25">
        <f t="shared" si="8"/>
        <v>9.5740734374999992</v>
      </c>
      <c r="I22" s="25">
        <f t="shared" si="8"/>
        <v>10.435740046874999</v>
      </c>
      <c r="J22" s="25">
        <f t="shared" si="8"/>
        <v>11.604542932125</v>
      </c>
      <c r="K22" s="25">
        <f t="shared" si="8"/>
        <v>12.416860937373748</v>
      </c>
      <c r="L22" s="25">
        <f t="shared" si="8"/>
        <v>13.161872593616172</v>
      </c>
    </row>
    <row r="23" spans="1:26" x14ac:dyDescent="0.3">
      <c r="A23" t="s">
        <v>84</v>
      </c>
      <c r="C23">
        <v>0.5</v>
      </c>
      <c r="D23">
        <f t="shared" ref="D23:L23" si="9">C23+1</f>
        <v>1.5</v>
      </c>
      <c r="E23">
        <f t="shared" si="9"/>
        <v>2.5</v>
      </c>
      <c r="F23">
        <f t="shared" si="9"/>
        <v>3.5</v>
      </c>
      <c r="G23">
        <f t="shared" si="9"/>
        <v>4.5</v>
      </c>
      <c r="H23">
        <f t="shared" si="9"/>
        <v>5.5</v>
      </c>
      <c r="I23">
        <f t="shared" si="9"/>
        <v>6.5</v>
      </c>
      <c r="J23">
        <f t="shared" si="9"/>
        <v>7.5</v>
      </c>
      <c r="K23">
        <f t="shared" si="9"/>
        <v>8.5</v>
      </c>
      <c r="L23">
        <f t="shared" si="9"/>
        <v>9.5</v>
      </c>
    </row>
    <row r="24" spans="1:26" x14ac:dyDescent="0.3">
      <c r="A24" t="s">
        <v>82</v>
      </c>
      <c r="C24" s="11">
        <f t="shared" ref="C24:L24" si="10">1/(1+$B$2)^C23</f>
        <v>0.9128709291752769</v>
      </c>
      <c r="D24" s="11">
        <f t="shared" si="10"/>
        <v>0.7607257743127307</v>
      </c>
      <c r="E24" s="11">
        <f t="shared" si="10"/>
        <v>0.63393814526060899</v>
      </c>
      <c r="F24" s="11">
        <f t="shared" si="10"/>
        <v>0.52828178771717416</v>
      </c>
      <c r="G24" s="11">
        <f t="shared" si="10"/>
        <v>0.44023482309764517</v>
      </c>
      <c r="H24" s="11">
        <f t="shared" si="10"/>
        <v>0.36686235258137107</v>
      </c>
      <c r="I24" s="11">
        <f t="shared" si="10"/>
        <v>0.30571862715114251</v>
      </c>
      <c r="J24" s="11">
        <f t="shared" si="10"/>
        <v>0.25476552262595203</v>
      </c>
      <c r="K24" s="11">
        <f t="shared" si="10"/>
        <v>0.21230460218829345</v>
      </c>
      <c r="L24" s="11">
        <f t="shared" si="10"/>
        <v>0.17692050182357785</v>
      </c>
    </row>
    <row r="25" spans="1:26" x14ac:dyDescent="0.3">
      <c r="A25" t="s">
        <v>87</v>
      </c>
      <c r="C25" s="11">
        <f t="shared" ref="C25:L25" si="11">C22*C24</f>
        <v>2.5195237645237643</v>
      </c>
      <c r="D25" s="11">
        <f t="shared" si="11"/>
        <v>2.9853732105685227</v>
      </c>
      <c r="E25" s="11">
        <f t="shared" si="11"/>
        <v>3.3763149405239243</v>
      </c>
      <c r="F25" s="11">
        <f t="shared" si="11"/>
        <v>3.6428661200389709</v>
      </c>
      <c r="G25" s="11">
        <f t="shared" si="11"/>
        <v>3.8316732055287965</v>
      </c>
      <c r="H25" s="11">
        <f t="shared" si="11"/>
        <v>3.5123671050680638</v>
      </c>
      <c r="I25" s="11">
        <f t="shared" si="11"/>
        <v>3.1904001204368244</v>
      </c>
      <c r="J25" s="11">
        <f t="shared" si="11"/>
        <v>2.9564374449381234</v>
      </c>
      <c r="K25" s="11">
        <f t="shared" si="11"/>
        <v>2.6361567217364938</v>
      </c>
      <c r="L25" s="11">
        <f t="shared" si="11"/>
        <v>2.3286051042005695</v>
      </c>
    </row>
    <row r="26" spans="1:26" x14ac:dyDescent="0.3">
      <c r="A26" t="s">
        <v>88</v>
      </c>
      <c r="B26" s="11">
        <f>SUM(C25:L25)</f>
        <v>30.979717737564052</v>
      </c>
    </row>
    <row r="27" spans="1:26" x14ac:dyDescent="0.3">
      <c r="A27" t="s">
        <v>83</v>
      </c>
      <c r="B27" s="11">
        <f>L22*(1+$B$3)</f>
        <v>13.688347497360819</v>
      </c>
    </row>
    <row r="28" spans="1:26" x14ac:dyDescent="0.3">
      <c r="A28" t="s">
        <v>85</v>
      </c>
      <c r="B28" s="11">
        <f>B27*(1+$B$3)/($B$2-$B$3)</f>
        <v>88.974258732845328</v>
      </c>
    </row>
    <row r="29" spans="1:26" x14ac:dyDescent="0.3">
      <c r="A29" t="s">
        <v>89</v>
      </c>
      <c r="B29" s="11">
        <f>B28/(1+$B$2)^10</f>
        <v>14.369839518840132</v>
      </c>
    </row>
    <row r="30" spans="1:26" x14ac:dyDescent="0.3">
      <c r="A30" t="s">
        <v>86</v>
      </c>
      <c r="B30" s="11">
        <f>B26+B29</f>
        <v>45.349557256404182</v>
      </c>
    </row>
  </sheetData>
  <pageMargins left="0.7" right="0.7" top="0.75" bottom="0.75" header="0.3" footer="0.3"/>
  <pageSetup paperSize="9" orientation="portrait" r:id="rId1"/>
  <ignoredErrors>
    <ignoredError sqref="C11 D11:L1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8"/>
  <sheetViews>
    <sheetView topLeftCell="A34" workbookViewId="0">
      <selection activeCell="A58" sqref="A1:A58"/>
    </sheetView>
  </sheetViews>
  <sheetFormatPr defaultRowHeight="14.4" x14ac:dyDescent="0.3"/>
  <sheetData>
    <row r="1" spans="1:1" x14ac:dyDescent="0.3">
      <c r="A1" t="s">
        <v>102</v>
      </c>
    </row>
    <row r="2" spans="1:1" x14ac:dyDescent="0.3">
      <c r="A2" t="s">
        <v>103</v>
      </c>
    </row>
    <row r="3" spans="1:1" x14ac:dyDescent="0.3">
      <c r="A3" t="s">
        <v>104</v>
      </c>
    </row>
    <row r="4" spans="1:1" x14ac:dyDescent="0.3">
      <c r="A4" t="s">
        <v>105</v>
      </c>
    </row>
    <row r="5" spans="1:1" x14ac:dyDescent="0.3">
      <c r="A5" t="s">
        <v>106</v>
      </c>
    </row>
    <row r="6" spans="1:1" x14ac:dyDescent="0.3">
      <c r="A6" t="s">
        <v>107</v>
      </c>
    </row>
    <row r="7" spans="1:1" x14ac:dyDescent="0.3">
      <c r="A7" t="s">
        <v>108</v>
      </c>
    </row>
    <row r="8" spans="1:1" x14ac:dyDescent="0.3">
      <c r="A8" t="s">
        <v>109</v>
      </c>
    </row>
    <row r="9" spans="1:1" x14ac:dyDescent="0.3">
      <c r="A9" t="s">
        <v>110</v>
      </c>
    </row>
    <row r="10" spans="1:1" x14ac:dyDescent="0.3">
      <c r="A10" t="s">
        <v>111</v>
      </c>
    </row>
    <row r="11" spans="1:1" x14ac:dyDescent="0.3">
      <c r="A11" t="s">
        <v>112</v>
      </c>
    </row>
    <row r="12" spans="1:1" x14ac:dyDescent="0.3">
      <c r="A12" s="28" t="s">
        <v>113</v>
      </c>
    </row>
    <row r="13" spans="1:1" x14ac:dyDescent="0.3">
      <c r="A13" t="s">
        <v>114</v>
      </c>
    </row>
    <row r="14" spans="1:1" x14ac:dyDescent="0.3">
      <c r="A14" t="s">
        <v>115</v>
      </c>
    </row>
    <row r="15" spans="1:1" x14ac:dyDescent="0.3">
      <c r="A15" t="s">
        <v>116</v>
      </c>
    </row>
    <row r="16" spans="1:1" x14ac:dyDescent="0.3">
      <c r="A16" t="s">
        <v>117</v>
      </c>
    </row>
    <row r="17" spans="1:1" x14ac:dyDescent="0.3">
      <c r="A17" t="s">
        <v>119</v>
      </c>
    </row>
    <row r="18" spans="1:1" x14ac:dyDescent="0.3">
      <c r="A18" t="s">
        <v>120</v>
      </c>
    </row>
    <row r="19" spans="1:1" x14ac:dyDescent="0.3">
      <c r="A19" t="s">
        <v>121</v>
      </c>
    </row>
    <row r="20" spans="1:1" x14ac:dyDescent="0.3">
      <c r="A20" t="s">
        <v>122</v>
      </c>
    </row>
    <row r="21" spans="1:1" x14ac:dyDescent="0.3">
      <c r="A21" t="s">
        <v>123</v>
      </c>
    </row>
    <row r="22" spans="1:1" x14ac:dyDescent="0.3">
      <c r="A22" t="s">
        <v>124</v>
      </c>
    </row>
    <row r="23" spans="1:1" x14ac:dyDescent="0.3">
      <c r="A23" t="s">
        <v>125</v>
      </c>
    </row>
    <row r="24" spans="1:1" x14ac:dyDescent="0.3">
      <c r="A24" t="s">
        <v>126</v>
      </c>
    </row>
    <row r="25" spans="1:1" x14ac:dyDescent="0.3">
      <c r="A25" t="s">
        <v>118</v>
      </c>
    </row>
    <row r="26" spans="1:1" x14ac:dyDescent="0.3">
      <c r="A26" t="s">
        <v>127</v>
      </c>
    </row>
    <row r="27" spans="1:1" x14ac:dyDescent="0.3">
      <c r="A27" t="s">
        <v>128</v>
      </c>
    </row>
    <row r="28" spans="1:1" x14ac:dyDescent="0.3">
      <c r="A28" t="s">
        <v>130</v>
      </c>
    </row>
    <row r="29" spans="1:1" x14ac:dyDescent="0.3">
      <c r="A29" t="s">
        <v>132</v>
      </c>
    </row>
    <row r="30" spans="1:1" x14ac:dyDescent="0.3">
      <c r="A30" t="s">
        <v>131</v>
      </c>
    </row>
    <row r="31" spans="1:1" x14ac:dyDescent="0.3">
      <c r="A31" t="s">
        <v>133</v>
      </c>
    </row>
    <row r="32" spans="1:1" x14ac:dyDescent="0.3">
      <c r="A32" t="s">
        <v>134</v>
      </c>
    </row>
    <row r="33" spans="1:1" x14ac:dyDescent="0.3">
      <c r="A33" t="s">
        <v>135</v>
      </c>
    </row>
    <row r="34" spans="1:1" x14ac:dyDescent="0.3">
      <c r="A34" t="s">
        <v>136</v>
      </c>
    </row>
    <row r="35" spans="1:1" x14ac:dyDescent="0.3">
      <c r="A35" t="s">
        <v>137</v>
      </c>
    </row>
    <row r="36" spans="1:1" x14ac:dyDescent="0.3">
      <c r="A36" t="s">
        <v>138</v>
      </c>
    </row>
    <row r="37" spans="1:1" x14ac:dyDescent="0.3">
      <c r="A37" t="s">
        <v>139</v>
      </c>
    </row>
    <row r="38" spans="1:1" x14ac:dyDescent="0.3">
      <c r="A38" t="s">
        <v>140</v>
      </c>
    </row>
    <row r="40" spans="1:1" x14ac:dyDescent="0.3">
      <c r="A40" t="s">
        <v>141</v>
      </c>
    </row>
    <row r="42" spans="1:1" x14ac:dyDescent="0.3">
      <c r="A42" t="s">
        <v>142</v>
      </c>
    </row>
    <row r="43" spans="1:1" x14ac:dyDescent="0.3">
      <c r="A43" t="s">
        <v>143</v>
      </c>
    </row>
    <row r="44" spans="1:1" x14ac:dyDescent="0.3">
      <c r="A44" t="s">
        <v>144</v>
      </c>
    </row>
    <row r="46" spans="1:1" x14ac:dyDescent="0.3">
      <c r="A46" t="s">
        <v>145</v>
      </c>
    </row>
    <row r="47" spans="1:1" x14ac:dyDescent="0.3">
      <c r="A47" t="s">
        <v>146</v>
      </c>
    </row>
    <row r="48" spans="1:1" x14ac:dyDescent="0.3">
      <c r="A48" t="s">
        <v>147</v>
      </c>
    </row>
    <row r="50" spans="1:1" x14ac:dyDescent="0.3">
      <c r="A50" t="s">
        <v>148</v>
      </c>
    </row>
    <row r="51" spans="1:1" x14ac:dyDescent="0.3">
      <c r="A51" t="s">
        <v>149</v>
      </c>
    </row>
    <row r="52" spans="1:1" x14ac:dyDescent="0.3">
      <c r="A52" t="s">
        <v>144</v>
      </c>
    </row>
    <row r="54" spans="1:1" x14ac:dyDescent="0.3">
      <c r="A54" t="s">
        <v>150</v>
      </c>
    </row>
    <row r="56" spans="1:1" x14ac:dyDescent="0.3">
      <c r="A56" t="s">
        <v>151</v>
      </c>
    </row>
    <row r="57" spans="1:1" x14ac:dyDescent="0.3">
      <c r="A57" t="s">
        <v>152</v>
      </c>
    </row>
    <row r="58" spans="1:1" x14ac:dyDescent="0.3">
      <c r="A58" t="s">
        <v>153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C41F-300B-4D58-B178-E10AEB8FD221}">
  <dimension ref="A1:A3"/>
  <sheetViews>
    <sheetView workbookViewId="0">
      <selection activeCell="E3" sqref="E3"/>
    </sheetView>
  </sheetViews>
  <sheetFormatPr defaultRowHeight="14.4" x14ac:dyDescent="0.3"/>
  <cols>
    <col min="1" max="1" width="83.77734375" customWidth="1"/>
  </cols>
  <sheetData>
    <row r="1" spans="1:1" ht="144" x14ac:dyDescent="0.3">
      <c r="A1" s="30" t="s">
        <v>154</v>
      </c>
    </row>
    <row r="3" spans="1:1" ht="360" x14ac:dyDescent="0.3">
      <c r="A3" s="30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70F2-F9B9-4202-A993-009DAD138277}">
  <dimension ref="A1:B6"/>
  <sheetViews>
    <sheetView workbookViewId="0">
      <selection activeCell="B2" sqref="B2"/>
    </sheetView>
  </sheetViews>
  <sheetFormatPr defaultRowHeight="14.4" x14ac:dyDescent="0.3"/>
  <cols>
    <col min="1" max="1" width="33.109375" bestFit="1" customWidth="1"/>
    <col min="2" max="2" width="134.88671875" bestFit="1" customWidth="1"/>
  </cols>
  <sheetData>
    <row r="1" spans="1:2" x14ac:dyDescent="0.3">
      <c r="A1" t="s">
        <v>156</v>
      </c>
      <c r="B1" t="s">
        <v>165</v>
      </c>
    </row>
    <row r="2" spans="1:2" x14ac:dyDescent="0.3">
      <c r="A2" t="s">
        <v>157</v>
      </c>
      <c r="B2" t="s">
        <v>166</v>
      </c>
    </row>
    <row r="3" spans="1:2" x14ac:dyDescent="0.3">
      <c r="A3" t="s">
        <v>158</v>
      </c>
      <c r="B3" t="s">
        <v>164</v>
      </c>
    </row>
    <row r="4" spans="1:2" x14ac:dyDescent="0.3">
      <c r="A4" t="s">
        <v>159</v>
      </c>
      <c r="B4" t="s">
        <v>163</v>
      </c>
    </row>
    <row r="5" spans="1:2" x14ac:dyDescent="0.3">
      <c r="A5" t="s">
        <v>160</v>
      </c>
      <c r="B5" t="s">
        <v>167</v>
      </c>
    </row>
    <row r="6" spans="1:2" x14ac:dyDescent="0.3">
      <c r="A6" t="s">
        <v>161</v>
      </c>
      <c r="B6" t="s">
        <v>162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65CA2-C731-4C21-8C08-E42D2577040B}">
  <dimension ref="A1:C2"/>
  <sheetViews>
    <sheetView workbookViewId="0">
      <selection activeCell="C2" sqref="C2"/>
    </sheetView>
  </sheetViews>
  <sheetFormatPr defaultRowHeight="14.4" x14ac:dyDescent="0.3"/>
  <cols>
    <col min="1" max="1" width="21.5546875" bestFit="1" customWidth="1"/>
    <col min="2" max="2" width="109.88671875" bestFit="1" customWidth="1"/>
    <col min="3" max="3" width="32" bestFit="1" customWidth="1"/>
  </cols>
  <sheetData>
    <row r="1" spans="1:3" x14ac:dyDescent="0.3">
      <c r="A1" t="s">
        <v>168</v>
      </c>
      <c r="B1" t="s">
        <v>172</v>
      </c>
      <c r="C1" t="s">
        <v>173</v>
      </c>
    </row>
    <row r="2" spans="1:3" x14ac:dyDescent="0.3">
      <c r="A2" t="s">
        <v>169</v>
      </c>
      <c r="B2" t="s">
        <v>170</v>
      </c>
      <c r="C2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C45A1-CC26-48B5-B553-06680017AAC3}">
  <dimension ref="A1:A4"/>
  <sheetViews>
    <sheetView tabSelected="1" workbookViewId="0">
      <selection activeCell="A5" sqref="A5"/>
    </sheetView>
  </sheetViews>
  <sheetFormatPr defaultRowHeight="14.4" x14ac:dyDescent="0.3"/>
  <cols>
    <col min="1" max="1" width="67.21875" bestFit="1" customWidth="1"/>
  </cols>
  <sheetData>
    <row r="1" spans="1:1" x14ac:dyDescent="0.3">
      <c r="A1" t="s">
        <v>174</v>
      </c>
    </row>
    <row r="2" spans="1:1" x14ac:dyDescent="0.3">
      <c r="A2" t="s">
        <v>175</v>
      </c>
    </row>
    <row r="3" spans="1:1" x14ac:dyDescent="0.3">
      <c r="A3" t="s">
        <v>176</v>
      </c>
    </row>
    <row r="4" spans="1:1" x14ac:dyDescent="0.3">
      <c r="A4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Фин. показатели</vt:lpstr>
      <vt:lpstr>DCF</vt:lpstr>
      <vt:lpstr>Стресс тест</vt:lpstr>
      <vt:lpstr>Черновик</vt:lpstr>
      <vt:lpstr>Ситуация для продажи</vt:lpstr>
      <vt:lpstr>Конкурентные преимущества </vt:lpstr>
      <vt:lpstr>Риски</vt:lpstr>
      <vt:lpstr>МА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Honor</dc:creator>
  <cp:lastModifiedBy>Honor</cp:lastModifiedBy>
  <dcterms:created xsi:type="dcterms:W3CDTF">2015-06-05T18:17:20Z</dcterms:created>
  <dcterms:modified xsi:type="dcterms:W3CDTF">2026-07-24T04:04:47Z</dcterms:modified>
</cp:coreProperties>
</file>
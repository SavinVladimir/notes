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The Experts\"/>
    </mc:Choice>
  </mc:AlternateContent>
  <xr:revisionPtr revIDLastSave="0" documentId="13_ncr:1_{B83B8ED1-FC94-42CB-96C9-2A674D210FB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Фин. показатели" sheetId="1" r:id="rId1"/>
    <sheet name="D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6" i="2"/>
  <c r="B24" i="2"/>
  <c r="B27" i="2"/>
  <c r="C20" i="2"/>
  <c r="C22" i="2"/>
  <c r="C23" i="2" s="1"/>
  <c r="D21" i="2"/>
  <c r="E20" i="2"/>
  <c r="D20" i="2"/>
  <c r="F20" i="2"/>
  <c r="G20" i="2"/>
  <c r="H20" i="2"/>
  <c r="I20" i="2"/>
  <c r="J20" i="2"/>
  <c r="K20" i="2"/>
  <c r="L20" i="2"/>
  <c r="D22" i="2" l="1"/>
  <c r="D23" i="2" s="1"/>
  <c r="E21" i="2"/>
  <c r="E22" i="2" l="1"/>
  <c r="E23" i="2" s="1"/>
  <c r="F21" i="2"/>
  <c r="F22" i="2" l="1"/>
  <c r="F23" i="2" s="1"/>
  <c r="G21" i="2"/>
  <c r="G22" i="2" l="1"/>
  <c r="G23" i="2" s="1"/>
  <c r="H21" i="2"/>
  <c r="H22" i="2" l="1"/>
  <c r="H23" i="2" s="1"/>
  <c r="I21" i="2"/>
  <c r="I22" i="2" l="1"/>
  <c r="I23" i="2" s="1"/>
  <c r="J21" i="2"/>
  <c r="J22" i="2" l="1"/>
  <c r="J23" i="2" s="1"/>
  <c r="K21" i="2"/>
  <c r="K22" i="2" l="1"/>
  <c r="K23" i="2" s="1"/>
  <c r="L21" i="2"/>
  <c r="L22" i="2" s="1"/>
  <c r="L23" i="2" s="1"/>
  <c r="B28" i="2" s="1"/>
</calcChain>
</file>

<file path=xl/sharedStrings.xml><?xml version="1.0" encoding="utf-8"?>
<sst xmlns="http://schemas.openxmlformats.org/spreadsheetml/2006/main" count="191" uniqueCount="90">
  <si>
    <t>млрд. руб.</t>
  </si>
  <si>
    <t>2025Ф</t>
  </si>
  <si>
    <t>2026П</t>
  </si>
  <si>
    <t>2027П</t>
  </si>
  <si>
    <t>2028П</t>
  </si>
  <si>
    <t>2029П</t>
  </si>
  <si>
    <t>2030П</t>
  </si>
  <si>
    <t>2031П</t>
  </si>
  <si>
    <t>2032П</t>
  </si>
  <si>
    <t>2033П</t>
  </si>
  <si>
    <t>2034П</t>
  </si>
  <si>
    <t>2035П</t>
  </si>
  <si>
    <t>11,5</t>
  </si>
  <si>
    <t>18,7</t>
  </si>
  <si>
    <t>22,4</t>
  </si>
  <si>
    <t>25,8</t>
  </si>
  <si>
    <t>28,4</t>
  </si>
  <si>
    <t>30,9</t>
  </si>
  <si>
    <t>33,4</t>
  </si>
  <si>
    <t>35,7</t>
  </si>
  <si>
    <t>37,9</t>
  </si>
  <si>
    <t>0,15</t>
  </si>
  <si>
    <t>0,30</t>
  </si>
  <si>
    <t>0,25</t>
  </si>
  <si>
    <t>0,20</t>
  </si>
  <si>
    <t>0,10</t>
  </si>
  <si>
    <t>0,09</t>
  </si>
  <si>
    <t>0,08</t>
  </si>
  <si>
    <t>0,07</t>
  </si>
  <si>
    <t>0,06</t>
  </si>
  <si>
    <t>EBITDA</t>
  </si>
  <si>
    <t>3,5</t>
  </si>
  <si>
    <t>4,3</t>
  </si>
  <si>
    <t>10,3</t>
  </si>
  <si>
    <t>12,9</t>
  </si>
  <si>
    <t>14,2</t>
  </si>
  <si>
    <t>15,5</t>
  </si>
  <si>
    <t>16,7</t>
  </si>
  <si>
    <t>17,9</t>
  </si>
  <si>
    <t>18,9</t>
  </si>
  <si>
    <t>0,35</t>
  </si>
  <si>
    <t>0,37</t>
  </si>
  <si>
    <t>0,4</t>
  </si>
  <si>
    <t>0,43</t>
  </si>
  <si>
    <t>0,46</t>
  </si>
  <si>
    <t>0,50</t>
  </si>
  <si>
    <t>0,5</t>
  </si>
  <si>
    <t>D&amp;A</t>
  </si>
  <si>
    <t>0,1</t>
  </si>
  <si>
    <t>0,2</t>
  </si>
  <si>
    <t>0,3</t>
  </si>
  <si>
    <t>0,01</t>
  </si>
  <si>
    <t>NOPAT</t>
  </si>
  <si>
    <t>2,6</t>
  </si>
  <si>
    <t>3,1</t>
  </si>
  <si>
    <t>4,4</t>
  </si>
  <si>
    <t>5,9</t>
  </si>
  <si>
    <t>7,6</t>
  </si>
  <si>
    <t>9,5</t>
  </si>
  <si>
    <t>10,4</t>
  </si>
  <si>
    <t>11,4</t>
  </si>
  <si>
    <t>12,3</t>
  </si>
  <si>
    <t>13,1</t>
  </si>
  <si>
    <t>13,9</t>
  </si>
  <si>
    <t>0,02</t>
  </si>
  <si>
    <t>0,6</t>
  </si>
  <si>
    <t>0,7</t>
  </si>
  <si>
    <t>0,8</t>
  </si>
  <si>
    <t>Выручка</t>
  </si>
  <si>
    <t>% ставки налога</t>
  </si>
  <si>
    <t>Капитальные затраты</t>
  </si>
  <si>
    <t>Уменьшение/(увеличение) оборотного капитала</t>
  </si>
  <si>
    <t>% рост г/г</t>
  </si>
  <si>
    <t>% выручки</t>
  </si>
  <si>
    <t>Параметр</t>
  </si>
  <si>
    <t>Значение</t>
  </si>
  <si>
    <t>WACC</t>
  </si>
  <si>
    <t>Долгосрочный рост (g)</t>
  </si>
  <si>
    <t>Ставка налога</t>
  </si>
  <si>
    <t>Чистый долг</t>
  </si>
  <si>
    <t>Дата оценки</t>
  </si>
  <si>
    <t>FCF</t>
  </si>
  <si>
    <t>К дисконтирования</t>
  </si>
  <si>
    <t>FCF в последний год (2035)</t>
  </si>
  <si>
    <t>Год</t>
  </si>
  <si>
    <t>TV</t>
  </si>
  <si>
    <t>EV</t>
  </si>
  <si>
    <t>DCF</t>
  </si>
  <si>
    <t>CUM_DCF</t>
  </si>
  <si>
    <t>DTV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</si>
</sst>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9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3" xfId="0" applyBorder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13"/>
  <sheetViews>
    <sheetView workbookViewId="0">
      <selection activeCell="A47" sqref="A47"/>
    </sheetView>
  </sheetViews>
  <sheetFormatPr defaultRowHeight="14.4" x14ac:dyDescent="0.3"/>
  <cols>
    <col min="1" max="1" width="41.21875" bestFit="1" customWidth="1"/>
    <col min="2" max="12" width="10.5546875" customWidth="1"/>
  </cols>
  <sheetData>
    <row r="1" spans="1:12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1" t="s">
        <v>68</v>
      </c>
      <c r="B2" s="2">
        <v>10</v>
      </c>
      <c r="C2" s="2" t="s">
        <v>12</v>
      </c>
      <c r="D2" s="2">
        <v>15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 t="s">
        <v>72</v>
      </c>
      <c r="B3" s="1"/>
      <c r="C3" s="2" t="s">
        <v>21</v>
      </c>
      <c r="D3" s="2" t="s">
        <v>22</v>
      </c>
      <c r="E3" s="2" t="s">
        <v>23</v>
      </c>
      <c r="F3" s="2" t="s">
        <v>24</v>
      </c>
      <c r="G3" s="2" t="s">
        <v>21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</row>
    <row r="4" spans="1:12" x14ac:dyDescent="0.3">
      <c r="A4" s="1" t="s">
        <v>30</v>
      </c>
      <c r="B4" s="2" t="s">
        <v>31</v>
      </c>
      <c r="C4" s="2" t="s">
        <v>32</v>
      </c>
      <c r="D4" s="2">
        <v>6</v>
      </c>
      <c r="E4" s="2">
        <v>8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</row>
    <row r="5" spans="1:12" x14ac:dyDescent="0.3">
      <c r="A5" s="2" t="s">
        <v>73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45</v>
      </c>
      <c r="J5" s="2" t="s">
        <v>46</v>
      </c>
      <c r="K5" s="2" t="s">
        <v>45</v>
      </c>
      <c r="L5" s="2" t="s">
        <v>45</v>
      </c>
    </row>
    <row r="6" spans="1:12" x14ac:dyDescent="0.3">
      <c r="A6" s="1" t="s">
        <v>47</v>
      </c>
      <c r="B6" s="2" t="s">
        <v>48</v>
      </c>
      <c r="C6" s="2" t="s">
        <v>48</v>
      </c>
      <c r="D6" s="2" t="s">
        <v>48</v>
      </c>
      <c r="E6" s="2" t="s">
        <v>49</v>
      </c>
      <c r="F6" s="2" t="s">
        <v>49</v>
      </c>
      <c r="G6" s="2" t="s">
        <v>50</v>
      </c>
      <c r="H6" s="2" t="s">
        <v>50</v>
      </c>
      <c r="I6" s="2" t="s">
        <v>50</v>
      </c>
      <c r="J6" s="2" t="s">
        <v>50</v>
      </c>
      <c r="K6" s="2" t="s">
        <v>42</v>
      </c>
      <c r="L6" s="2" t="s">
        <v>42</v>
      </c>
    </row>
    <row r="7" spans="1:12" ht="15" thickBot="1" x14ac:dyDescent="0.35">
      <c r="A7" s="2" t="s">
        <v>73</v>
      </c>
      <c r="B7" s="2" t="s">
        <v>51</v>
      </c>
      <c r="C7" s="2" t="s">
        <v>51</v>
      </c>
      <c r="D7" s="2" t="s">
        <v>51</v>
      </c>
      <c r="E7" s="2" t="s">
        <v>51</v>
      </c>
      <c r="F7" s="2" t="s">
        <v>51</v>
      </c>
      <c r="G7" s="2" t="s">
        <v>51</v>
      </c>
      <c r="H7" s="2" t="s">
        <v>51</v>
      </c>
      <c r="I7" s="2" t="s">
        <v>51</v>
      </c>
      <c r="J7" s="2" t="s">
        <v>51</v>
      </c>
      <c r="K7" s="2" t="s">
        <v>51</v>
      </c>
      <c r="L7" s="2" t="s">
        <v>51</v>
      </c>
    </row>
    <row r="8" spans="1:12" ht="15" thickBot="1" x14ac:dyDescent="0.35">
      <c r="A8" s="5" t="s">
        <v>52</v>
      </c>
      <c r="B8" s="6" t="s">
        <v>53</v>
      </c>
      <c r="C8" s="6" t="s">
        <v>54</v>
      </c>
      <c r="D8" s="6" t="s">
        <v>55</v>
      </c>
      <c r="E8" s="6" t="s">
        <v>56</v>
      </c>
      <c r="F8" s="6" t="s">
        <v>57</v>
      </c>
      <c r="G8" s="6" t="s">
        <v>58</v>
      </c>
      <c r="H8" s="6" t="s">
        <v>59</v>
      </c>
      <c r="I8" s="6" t="s">
        <v>60</v>
      </c>
      <c r="J8" s="6" t="s">
        <v>61</v>
      </c>
      <c r="K8" s="6" t="s">
        <v>62</v>
      </c>
      <c r="L8" s="6" t="s">
        <v>63</v>
      </c>
    </row>
    <row r="9" spans="1:12" x14ac:dyDescent="0.3">
      <c r="A9" s="1" t="s">
        <v>69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</row>
    <row r="10" spans="1:12" x14ac:dyDescent="0.3">
      <c r="A10" s="1" t="s">
        <v>70</v>
      </c>
      <c r="B10" s="2" t="s">
        <v>49</v>
      </c>
      <c r="C10" s="2" t="s">
        <v>49</v>
      </c>
      <c r="D10" s="2" t="s">
        <v>50</v>
      </c>
      <c r="E10" s="2" t="s">
        <v>42</v>
      </c>
      <c r="F10" s="2" t="s">
        <v>42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42</v>
      </c>
      <c r="L10" s="2" t="s">
        <v>42</v>
      </c>
    </row>
    <row r="11" spans="1:12" x14ac:dyDescent="0.3">
      <c r="A11" s="2" t="s">
        <v>73</v>
      </c>
      <c r="B11" s="2" t="s">
        <v>64</v>
      </c>
      <c r="C11" s="2" t="s">
        <v>64</v>
      </c>
      <c r="D11" s="2" t="s">
        <v>64</v>
      </c>
      <c r="E11" s="2" t="s">
        <v>64</v>
      </c>
      <c r="F11" s="2" t="s">
        <v>64</v>
      </c>
      <c r="G11" s="2" t="s">
        <v>64</v>
      </c>
      <c r="H11" s="2" t="s">
        <v>64</v>
      </c>
      <c r="I11" s="2" t="s">
        <v>64</v>
      </c>
      <c r="J11" s="2" t="s">
        <v>51</v>
      </c>
      <c r="K11" s="2" t="s">
        <v>51</v>
      </c>
      <c r="L11" s="2" t="s">
        <v>51</v>
      </c>
    </row>
    <row r="12" spans="1:12" x14ac:dyDescent="0.3">
      <c r="A12" s="1" t="s">
        <v>71</v>
      </c>
      <c r="B12" s="2" t="s">
        <v>49</v>
      </c>
      <c r="C12" s="2" t="s">
        <v>49</v>
      </c>
      <c r="D12" s="2" t="s">
        <v>50</v>
      </c>
      <c r="E12" s="2" t="s">
        <v>42</v>
      </c>
      <c r="F12" s="2" t="s">
        <v>42</v>
      </c>
      <c r="G12" s="2" t="s">
        <v>46</v>
      </c>
      <c r="H12" s="2" t="s">
        <v>65</v>
      </c>
      <c r="I12" s="2" t="s">
        <v>65</v>
      </c>
      <c r="J12" s="2" t="s">
        <v>66</v>
      </c>
      <c r="K12" s="2" t="s">
        <v>66</v>
      </c>
      <c r="L12" s="2" t="s">
        <v>67</v>
      </c>
    </row>
    <row r="13" spans="1:12" x14ac:dyDescent="0.3">
      <c r="A13" s="2" t="s">
        <v>73</v>
      </c>
      <c r="B13" s="2" t="s">
        <v>64</v>
      </c>
      <c r="C13" s="2" t="s">
        <v>64</v>
      </c>
      <c r="D13" s="2" t="s">
        <v>64</v>
      </c>
      <c r="E13" s="2" t="s">
        <v>64</v>
      </c>
      <c r="F13" s="2" t="s">
        <v>64</v>
      </c>
      <c r="G13" s="2" t="s">
        <v>64</v>
      </c>
      <c r="H13" s="2" t="s">
        <v>64</v>
      </c>
      <c r="I13" s="2" t="s">
        <v>64</v>
      </c>
      <c r="J13" s="2" t="s">
        <v>64</v>
      </c>
      <c r="K13" s="2" t="s">
        <v>64</v>
      </c>
      <c r="L13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CB50-B0C8-4AF7-B722-9CB9C2820A41}">
  <sheetPr codeName="Лист2"/>
  <dimension ref="A1:Q28"/>
  <sheetViews>
    <sheetView tabSelected="1" zoomScale="85" zoomScaleNormal="85" workbookViewId="0">
      <selection activeCell="B26" sqref="B26"/>
    </sheetView>
  </sheetViews>
  <sheetFormatPr defaultRowHeight="14.4" x14ac:dyDescent="0.3"/>
  <cols>
    <col min="1" max="1" width="44" bestFit="1" customWidth="1"/>
    <col min="2" max="12" width="12.109375" customWidth="1"/>
    <col min="14" max="14" width="25.33203125" bestFit="1" customWidth="1"/>
    <col min="15" max="15" width="7" bestFit="1" customWidth="1"/>
    <col min="16" max="16" width="10.77734375" bestFit="1" customWidth="1"/>
    <col min="17" max="17" width="11.21875" bestFit="1" customWidth="1"/>
  </cols>
  <sheetData>
    <row r="1" spans="1:17" x14ac:dyDescent="0.3">
      <c r="A1" t="s">
        <v>74</v>
      </c>
      <c r="B1" t="s">
        <v>75</v>
      </c>
    </row>
    <row r="2" spans="1:17" x14ac:dyDescent="0.3">
      <c r="A2" t="s">
        <v>76</v>
      </c>
      <c r="B2" s="9">
        <v>0.2</v>
      </c>
    </row>
    <row r="3" spans="1:17" x14ac:dyDescent="0.3">
      <c r="A3" t="s">
        <v>77</v>
      </c>
      <c r="B3" s="9">
        <v>0.04</v>
      </c>
      <c r="O3" s="9"/>
      <c r="P3" s="9"/>
      <c r="Q3" s="13"/>
    </row>
    <row r="4" spans="1:17" x14ac:dyDescent="0.3">
      <c r="A4" t="s">
        <v>78</v>
      </c>
      <c r="B4" s="9">
        <v>0.25</v>
      </c>
      <c r="O4" s="9"/>
      <c r="P4" s="9"/>
      <c r="Q4" s="13"/>
    </row>
    <row r="5" spans="1:17" x14ac:dyDescent="0.3">
      <c r="A5" t="s">
        <v>79</v>
      </c>
      <c r="B5">
        <v>0</v>
      </c>
      <c r="O5" s="14"/>
      <c r="P5" s="9"/>
      <c r="Q5" s="15"/>
    </row>
    <row r="6" spans="1:17" x14ac:dyDescent="0.3">
      <c r="A6" t="s">
        <v>80</v>
      </c>
      <c r="B6" s="10">
        <v>46112</v>
      </c>
      <c r="O6" s="14"/>
      <c r="P6" s="9"/>
      <c r="Q6" s="15"/>
    </row>
    <row r="7" spans="1:17" ht="15" thickBot="1" x14ac:dyDescent="0.35">
      <c r="A7" s="7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O7" s="9"/>
      <c r="P7" s="9"/>
      <c r="Q7" s="13"/>
    </row>
    <row r="8" spans="1:17" x14ac:dyDescent="0.3">
      <c r="A8" s="1" t="s">
        <v>68</v>
      </c>
      <c r="B8" s="2">
        <v>10</v>
      </c>
      <c r="C8" s="2">
        <v>11.5</v>
      </c>
      <c r="D8" s="2">
        <v>15</v>
      </c>
      <c r="E8" s="2">
        <v>18.7</v>
      </c>
      <c r="F8" s="2">
        <v>22.4</v>
      </c>
      <c r="G8" s="2">
        <v>25.8</v>
      </c>
      <c r="H8" s="2">
        <v>28.4</v>
      </c>
      <c r="I8" s="2">
        <v>30.9</v>
      </c>
      <c r="J8" s="2">
        <v>33.4</v>
      </c>
      <c r="K8" s="2">
        <v>35.700000000000003</v>
      </c>
      <c r="L8" s="2">
        <v>37.9</v>
      </c>
      <c r="O8" s="9"/>
      <c r="Q8" s="13"/>
    </row>
    <row r="9" spans="1:17" x14ac:dyDescent="0.3">
      <c r="A9" s="2" t="s">
        <v>72</v>
      </c>
      <c r="B9" s="1"/>
      <c r="C9" s="2">
        <v>0.15</v>
      </c>
      <c r="D9" s="2">
        <v>0.3</v>
      </c>
      <c r="E9" s="2">
        <v>0.25</v>
      </c>
      <c r="F9" s="2">
        <v>0.2</v>
      </c>
      <c r="G9" s="2">
        <v>0.15</v>
      </c>
      <c r="H9" s="2">
        <v>0.1</v>
      </c>
      <c r="I9" s="2">
        <v>0.09</v>
      </c>
      <c r="J9" s="2">
        <v>0.08</v>
      </c>
      <c r="K9" s="2">
        <v>7.0000000000000007E-2</v>
      </c>
      <c r="L9" s="2">
        <v>0.06</v>
      </c>
      <c r="Q9" s="13"/>
    </row>
    <row r="10" spans="1:17" x14ac:dyDescent="0.3">
      <c r="A10" s="1" t="s">
        <v>30</v>
      </c>
      <c r="B10" s="2">
        <v>3.5</v>
      </c>
      <c r="C10" s="2">
        <v>4.3</v>
      </c>
      <c r="D10" s="2">
        <v>6</v>
      </c>
      <c r="E10" s="2">
        <v>8</v>
      </c>
      <c r="F10" s="2">
        <v>10.3</v>
      </c>
      <c r="G10" s="2">
        <v>12.9</v>
      </c>
      <c r="H10" s="2">
        <v>14.2</v>
      </c>
      <c r="I10" s="2">
        <v>15.5</v>
      </c>
      <c r="J10" s="2">
        <v>16.7</v>
      </c>
      <c r="K10" s="2">
        <v>17.899999999999999</v>
      </c>
      <c r="L10" s="2">
        <v>18.899999999999999</v>
      </c>
    </row>
    <row r="11" spans="1:17" x14ac:dyDescent="0.3">
      <c r="A11" s="2" t="s">
        <v>73</v>
      </c>
      <c r="B11" s="2">
        <v>0.35</v>
      </c>
      <c r="C11" s="2">
        <v>0.37</v>
      </c>
      <c r="D11" s="2">
        <v>0.4</v>
      </c>
      <c r="E11" s="2">
        <v>0.43</v>
      </c>
      <c r="F11" s="2">
        <v>0.46</v>
      </c>
      <c r="G11" s="2">
        <v>0.5</v>
      </c>
      <c r="H11" s="2">
        <v>0.5</v>
      </c>
      <c r="I11" s="2">
        <v>0.5</v>
      </c>
      <c r="J11" s="2">
        <v>0.5</v>
      </c>
      <c r="K11" s="2">
        <v>0.5</v>
      </c>
      <c r="L11" s="2">
        <v>0.5</v>
      </c>
    </row>
    <row r="12" spans="1:17" x14ac:dyDescent="0.3">
      <c r="A12" s="1" t="s">
        <v>47</v>
      </c>
      <c r="B12" s="2">
        <v>0.1</v>
      </c>
      <c r="C12" s="2">
        <v>0.1</v>
      </c>
      <c r="D12" s="2">
        <v>0.1</v>
      </c>
      <c r="E12" s="2">
        <v>0.2</v>
      </c>
      <c r="F12" s="2">
        <v>0.2</v>
      </c>
      <c r="G12" s="2">
        <v>0.3</v>
      </c>
      <c r="H12" s="2">
        <v>0.3</v>
      </c>
      <c r="I12" s="2">
        <v>0.3</v>
      </c>
      <c r="J12" s="2">
        <v>0.3</v>
      </c>
      <c r="K12" s="2">
        <v>0.4</v>
      </c>
      <c r="L12" s="2">
        <v>0.4</v>
      </c>
    </row>
    <row r="13" spans="1:17" ht="15" thickBot="1" x14ac:dyDescent="0.35">
      <c r="A13" s="2" t="s">
        <v>73</v>
      </c>
      <c r="B13" s="2">
        <v>0.01</v>
      </c>
      <c r="C13" s="2">
        <v>0.01</v>
      </c>
      <c r="D13" s="2">
        <v>0.01</v>
      </c>
      <c r="E13" s="2">
        <v>0.01</v>
      </c>
      <c r="F13" s="2">
        <v>0.01</v>
      </c>
      <c r="G13" s="2">
        <v>0.01</v>
      </c>
      <c r="H13" s="2">
        <v>0.01</v>
      </c>
      <c r="I13" s="2">
        <v>0.01</v>
      </c>
      <c r="J13" s="2">
        <v>0.01</v>
      </c>
      <c r="K13" s="2">
        <v>0.01</v>
      </c>
      <c r="L13" s="2">
        <v>0.01</v>
      </c>
    </row>
    <row r="14" spans="1:17" ht="15" thickBot="1" x14ac:dyDescent="0.35">
      <c r="A14" s="5" t="s">
        <v>52</v>
      </c>
      <c r="B14" s="6">
        <v>2.6</v>
      </c>
      <c r="C14" s="6">
        <v>3.1</v>
      </c>
      <c r="D14" s="6">
        <v>4.4000000000000004</v>
      </c>
      <c r="E14" s="6">
        <v>5.9</v>
      </c>
      <c r="F14" s="6">
        <v>7.6</v>
      </c>
      <c r="G14" s="6">
        <v>9.5</v>
      </c>
      <c r="H14" s="6">
        <v>10.4</v>
      </c>
      <c r="I14" s="6">
        <v>11.4</v>
      </c>
      <c r="J14" s="6">
        <v>12.3</v>
      </c>
      <c r="K14" s="6">
        <v>13.1</v>
      </c>
      <c r="L14" s="6">
        <v>13.9</v>
      </c>
    </row>
    <row r="15" spans="1:17" x14ac:dyDescent="0.3">
      <c r="A15" s="2" t="s">
        <v>69</v>
      </c>
      <c r="B15" s="2">
        <v>0.25</v>
      </c>
      <c r="C15" s="2">
        <v>0.25</v>
      </c>
      <c r="D15" s="2">
        <v>0.25</v>
      </c>
      <c r="E15" s="2">
        <v>0.25</v>
      </c>
      <c r="F15" s="2">
        <v>0.25</v>
      </c>
      <c r="G15" s="2">
        <v>0.25</v>
      </c>
      <c r="H15" s="2">
        <v>0.25</v>
      </c>
      <c r="I15" s="2">
        <v>0.25</v>
      </c>
      <c r="J15" s="2">
        <v>0.25</v>
      </c>
      <c r="K15" s="2">
        <v>0.25</v>
      </c>
      <c r="L15" s="2">
        <v>0.25</v>
      </c>
    </row>
    <row r="16" spans="1:17" x14ac:dyDescent="0.3">
      <c r="A16" s="1" t="s">
        <v>70</v>
      </c>
      <c r="B16" s="2">
        <v>0.2</v>
      </c>
      <c r="C16" s="2">
        <v>0.2</v>
      </c>
      <c r="D16" s="2">
        <v>0.3</v>
      </c>
      <c r="E16" s="2">
        <v>0.4</v>
      </c>
      <c r="F16" s="2">
        <v>0.4</v>
      </c>
      <c r="G16" s="2">
        <v>0.5</v>
      </c>
      <c r="H16" s="2">
        <v>0.5</v>
      </c>
      <c r="I16" s="2">
        <v>0.5</v>
      </c>
      <c r="J16" s="2">
        <v>0.5</v>
      </c>
      <c r="K16" s="2">
        <v>0.4</v>
      </c>
      <c r="L16" s="2">
        <v>0.4</v>
      </c>
    </row>
    <row r="17" spans="1:12" x14ac:dyDescent="0.3">
      <c r="A17" s="2" t="s">
        <v>73</v>
      </c>
      <c r="B17" s="2">
        <v>0.02</v>
      </c>
      <c r="C17" s="2">
        <v>0.02</v>
      </c>
      <c r="D17" s="2">
        <v>0.02</v>
      </c>
      <c r="E17" s="2">
        <v>0.02</v>
      </c>
      <c r="F17" s="2">
        <v>0.02</v>
      </c>
      <c r="G17" s="2">
        <v>0.02</v>
      </c>
      <c r="H17" s="2">
        <v>0.02</v>
      </c>
      <c r="I17" s="2">
        <v>0.02</v>
      </c>
      <c r="J17" s="2">
        <v>0.01</v>
      </c>
      <c r="K17" s="2">
        <v>0.01</v>
      </c>
      <c r="L17" s="2">
        <v>0.01</v>
      </c>
    </row>
    <row r="18" spans="1:12" x14ac:dyDescent="0.3">
      <c r="A18" s="1" t="s">
        <v>71</v>
      </c>
      <c r="B18" s="2">
        <v>0.2</v>
      </c>
      <c r="C18" s="2">
        <v>0.2</v>
      </c>
      <c r="D18" s="2">
        <v>0.3</v>
      </c>
      <c r="E18" s="2">
        <v>0.4</v>
      </c>
      <c r="F18" s="2">
        <v>0.4</v>
      </c>
      <c r="G18" s="2">
        <v>0.5</v>
      </c>
      <c r="H18" s="2">
        <v>0.6</v>
      </c>
      <c r="I18" s="2">
        <v>0.6</v>
      </c>
      <c r="J18" s="2">
        <v>0.7</v>
      </c>
      <c r="K18" s="2">
        <v>0.7</v>
      </c>
      <c r="L18" s="2">
        <v>0.8</v>
      </c>
    </row>
    <row r="19" spans="1:12" x14ac:dyDescent="0.3">
      <c r="A19" s="2" t="s">
        <v>73</v>
      </c>
      <c r="B19" s="2">
        <v>0.02</v>
      </c>
      <c r="C19" s="2">
        <v>0.02</v>
      </c>
      <c r="D19" s="2">
        <v>0.02</v>
      </c>
      <c r="E19" s="2">
        <v>0.02</v>
      </c>
      <c r="F19" s="2">
        <v>0.02</v>
      </c>
      <c r="G19" s="2">
        <v>0.02</v>
      </c>
      <c r="H19" s="2">
        <v>0.02</v>
      </c>
      <c r="I19" s="2">
        <v>0.02</v>
      </c>
      <c r="J19" s="2">
        <v>0.02</v>
      </c>
      <c r="K19" s="2">
        <v>0.02</v>
      </c>
      <c r="L19" s="2">
        <v>0.02</v>
      </c>
    </row>
    <row r="20" spans="1:12" ht="15" thickBot="1" x14ac:dyDescent="0.35">
      <c r="A20" s="12" t="s">
        <v>81</v>
      </c>
      <c r="B20" s="12"/>
      <c r="C20" s="12">
        <f>C14+C12-C16-C18</f>
        <v>2.8</v>
      </c>
      <c r="D20" s="12">
        <f t="shared" ref="C20:L20" si="0">D14+D12-D16-D18</f>
        <v>3.9000000000000004</v>
      </c>
      <c r="E20" s="12">
        <f t="shared" si="0"/>
        <v>5.3</v>
      </c>
      <c r="F20" s="12">
        <f t="shared" si="0"/>
        <v>6.9999999999999991</v>
      </c>
      <c r="G20" s="12">
        <f t="shared" si="0"/>
        <v>8.8000000000000007</v>
      </c>
      <c r="H20" s="12">
        <f t="shared" si="0"/>
        <v>9.6000000000000014</v>
      </c>
      <c r="I20" s="12">
        <f t="shared" si="0"/>
        <v>10.600000000000001</v>
      </c>
      <c r="J20" s="12">
        <f t="shared" si="0"/>
        <v>11.400000000000002</v>
      </c>
      <c r="K20" s="12">
        <f t="shared" si="0"/>
        <v>12.4</v>
      </c>
      <c r="L20" s="12">
        <f t="shared" si="0"/>
        <v>13.1</v>
      </c>
    </row>
    <row r="21" spans="1:12" x14ac:dyDescent="0.3">
      <c r="A21" t="s">
        <v>84</v>
      </c>
      <c r="C21">
        <v>0.5</v>
      </c>
      <c r="D21">
        <f>C21+1</f>
        <v>1.5</v>
      </c>
      <c r="E21">
        <f t="shared" ref="E21:L21" si="1">D21+1</f>
        <v>2.5</v>
      </c>
      <c r="F21">
        <f t="shared" si="1"/>
        <v>3.5</v>
      </c>
      <c r="G21">
        <f t="shared" si="1"/>
        <v>4.5</v>
      </c>
      <c r="H21">
        <f t="shared" si="1"/>
        <v>5.5</v>
      </c>
      <c r="I21">
        <f t="shared" si="1"/>
        <v>6.5</v>
      </c>
      <c r="J21">
        <f t="shared" si="1"/>
        <v>7.5</v>
      </c>
      <c r="K21">
        <f t="shared" si="1"/>
        <v>8.5</v>
      </c>
      <c r="L21">
        <f t="shared" si="1"/>
        <v>9.5</v>
      </c>
    </row>
    <row r="22" spans="1:12" x14ac:dyDescent="0.3">
      <c r="A22" t="s">
        <v>82</v>
      </c>
      <c r="C22" s="11">
        <f>1/(1+$B$2)^C21</f>
        <v>0.9128709291752769</v>
      </c>
      <c r="D22" s="11">
        <f t="shared" ref="D22:L22" si="2">1/(1+$B$2)^D21</f>
        <v>0.7607257743127307</v>
      </c>
      <c r="E22" s="11">
        <f t="shared" si="2"/>
        <v>0.63393814526060899</v>
      </c>
      <c r="F22" s="11">
        <f t="shared" si="2"/>
        <v>0.52828178771717416</v>
      </c>
      <c r="G22" s="11">
        <f t="shared" si="2"/>
        <v>0.44023482309764517</v>
      </c>
      <c r="H22" s="11">
        <f t="shared" si="2"/>
        <v>0.36686235258137107</v>
      </c>
      <c r="I22" s="11">
        <f t="shared" si="2"/>
        <v>0.30571862715114251</v>
      </c>
      <c r="J22" s="11">
        <f t="shared" si="2"/>
        <v>0.25476552262595203</v>
      </c>
      <c r="K22" s="11">
        <f t="shared" si="2"/>
        <v>0.21230460218829345</v>
      </c>
      <c r="L22" s="11">
        <f>1/(1+$B$2)^L21</f>
        <v>0.17692050182357785</v>
      </c>
    </row>
    <row r="23" spans="1:12" x14ac:dyDescent="0.3">
      <c r="A23" t="s">
        <v>87</v>
      </c>
      <c r="C23" s="11">
        <f>C20*C22</f>
        <v>2.556038601690775</v>
      </c>
      <c r="D23" s="11">
        <f t="shared" ref="C23:L23" si="3">D20*D22</f>
        <v>2.9668305198196498</v>
      </c>
      <c r="E23" s="11">
        <f t="shared" si="3"/>
        <v>3.3598721698812275</v>
      </c>
      <c r="F23" s="11">
        <f t="shared" si="3"/>
        <v>3.6979725140202184</v>
      </c>
      <c r="G23" s="11">
        <f t="shared" si="3"/>
        <v>3.8740664432592777</v>
      </c>
      <c r="H23" s="11">
        <f t="shared" si="3"/>
        <v>3.5218785847811627</v>
      </c>
      <c r="I23" s="11">
        <f t="shared" si="3"/>
        <v>3.2406174478021108</v>
      </c>
      <c r="J23" s="11">
        <f t="shared" si="3"/>
        <v>2.9043269579358539</v>
      </c>
      <c r="K23" s="11">
        <f t="shared" si="3"/>
        <v>2.632577067134839</v>
      </c>
      <c r="L23" s="11">
        <f>L20*L22</f>
        <v>2.31765857388887</v>
      </c>
    </row>
    <row r="24" spans="1:12" x14ac:dyDescent="0.3">
      <c r="A24" t="s">
        <v>88</v>
      </c>
      <c r="B24" s="11">
        <f>SUM(C23:L23)</f>
        <v>31.071838880213988</v>
      </c>
    </row>
    <row r="25" spans="1:12" x14ac:dyDescent="0.3">
      <c r="A25" t="s">
        <v>83</v>
      </c>
      <c r="B25" s="11">
        <f>L20*(1+B3)</f>
        <v>13.624000000000001</v>
      </c>
    </row>
    <row r="26" spans="1:12" x14ac:dyDescent="0.3">
      <c r="A26" t="s">
        <v>85</v>
      </c>
      <c r="B26" s="11">
        <f>B25*(1+$B$3)/($B$2-$B$3)</f>
        <v>88.555999999999997</v>
      </c>
    </row>
    <row r="27" spans="1:12" x14ac:dyDescent="0.3">
      <c r="A27" t="s">
        <v>89</v>
      </c>
      <c r="B27" s="11">
        <f>B26/(1+$B$2)^10</f>
        <v>14.302288398393179</v>
      </c>
    </row>
    <row r="28" spans="1:12" x14ac:dyDescent="0.3">
      <c r="A28" t="s">
        <v>86</v>
      </c>
      <c r="B28" s="11">
        <f>B24+B27</f>
        <v>45.374127278607169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Фин. показатели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2015-06-05T18:17:20Z</dcterms:created>
  <dcterms:modified xsi:type="dcterms:W3CDTF">2026-07-20T17:00:35Z</dcterms:modified>
</cp:coreProperties>
</file>
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Условия и предпослыки" sheetId="1" r:id="rId5"/>
    <sheet state="visible" name="Модель CF (Менеджмент)" sheetId="2" r:id="rId6"/>
    <sheet state="visible" name="Модель EV (Саня)" sheetId="3" r:id="rId7"/>
    <sheet state="visible" name="Модель EV (Денч)" sheetId="4" r:id="rId8"/>
    <sheet state="visible" name="Модель EV (Вова)" sheetId="5" r:id="rId9"/>
  </sheets>
  <definedNames/>
  <calcPr/>
</workbook>
</file>

<file path=xl/sharedStrings.xml><?xml version="1.0" encoding="utf-8"?>
<sst xmlns="http://schemas.openxmlformats.org/spreadsheetml/2006/main" count="179" uniqueCount="137">
  <si>
    <t>Стоимость оценки Авто.ру млрд.</t>
  </si>
  <si>
    <t>Cтоимость оценки Авто.ру Price/Ebitda</t>
  </si>
  <si>
    <t>Синергетический эффект в операционном доходе (Горизонт - 3 года) млрд.</t>
  </si>
  <si>
    <t xml:space="preserve">Рентабельность по EBITDA </t>
  </si>
  <si>
    <t>Вопросы Совета Директоров Яндекса:</t>
  </si>
  <si>
    <t>- Справедливая стоимость Авто.ру</t>
  </si>
  <si>
    <t>Комментарий: даем оценку справедливой стоимости + объясняем релевантность
методов именно для оценки Авто.ру + описываем саму методологию + считаем 
оценку в случае пересмотра бизнес - плана в негативную сторону + даем расчет 
оценки стоимости и ключевые показатели, которые могут быть пересмотрены в 
отрицательную стоимость покупателем + делаем вывод о том, следует ли часть 
синергетическог эффекта от слияния Авто.ру и Т учитывать в цене сделки?</t>
  </si>
  <si>
    <t>- Потенциальные покупатели Авто.ру</t>
  </si>
  <si>
    <t>Комменатрий: какую цену готовы были бы заплатить другие покупатели и 
какая доходность их инвестиций ?</t>
  </si>
  <si>
    <t>- Является ли текущая ситуация подходящей для продажи бизнеса</t>
  </si>
  <si>
    <t>Комменатрий: какие конкурентные преимущества ииеет Авто.ру на рынке?</t>
  </si>
  <si>
    <t>- Должен ли Яндекс принять предложение о продаже</t>
  </si>
  <si>
    <t>- Стоит ли рассматривать продажу другому инвестору, возможно,
 миноритарного или контрольного пакета</t>
  </si>
  <si>
    <t>- Следует ли отражать часть ожидаемой синергетической стоимости в цене сделки?</t>
  </si>
  <si>
    <t>- Если Яндекс не продает актив,
 то может ли он использовать другие стратегические инициативы
 (IPO, самостоятельное развитие)</t>
  </si>
  <si>
    <t>млрд. руб.</t>
  </si>
  <si>
    <t>2025Ф</t>
  </si>
  <si>
    <t>2026П</t>
  </si>
  <si>
    <t>2027П</t>
  </si>
  <si>
    <t>2028П</t>
  </si>
  <si>
    <t>2029П</t>
  </si>
  <si>
    <t>2030П</t>
  </si>
  <si>
    <t>2031П</t>
  </si>
  <si>
    <t>2032П</t>
  </si>
  <si>
    <t>2033П</t>
  </si>
  <si>
    <t>2034П</t>
  </si>
  <si>
    <t>2035П</t>
  </si>
  <si>
    <t>Revenue</t>
  </si>
  <si>
    <t>% growth y/y</t>
  </si>
  <si>
    <t>EBITDA</t>
  </si>
  <si>
    <t>% revenue</t>
  </si>
  <si>
    <t>D&amp;A</t>
  </si>
  <si>
    <t>NOPAT</t>
  </si>
  <si>
    <t>Tax Rate</t>
  </si>
  <si>
    <t>CAPEX</t>
  </si>
  <si>
    <t>Changing in working capital</t>
  </si>
  <si>
    <t>Период</t>
  </si>
  <si>
    <t>(1 - t)</t>
  </si>
  <si>
    <t>Cost of Equity</t>
  </si>
  <si>
    <t>EBIT</t>
  </si>
  <si>
    <t>FCFF</t>
  </si>
  <si>
    <t>Long-Term Growth</t>
  </si>
  <si>
    <t>DCF</t>
  </si>
  <si>
    <t>Cumulative DCF (9 y)</t>
  </si>
  <si>
    <t>Terminal Value (DCF)</t>
  </si>
  <si>
    <t>Value of Buisness
(DCF)</t>
  </si>
  <si>
    <t>Terminal Value (P/E)</t>
  </si>
  <si>
    <t>Value of Buisness
(P/E)</t>
  </si>
  <si>
    <t xml:space="preserve">Samples </t>
  </si>
  <si>
    <t>Name</t>
  </si>
  <si>
    <t xml:space="preserve">Stock Exchange </t>
  </si>
  <si>
    <t>P/E</t>
  </si>
  <si>
    <t>Hisrorical P/E</t>
  </si>
  <si>
    <t>Car Group Ltd (Australia)</t>
  </si>
  <si>
    <t>ASX</t>
  </si>
  <si>
    <t>22/23</t>
  </si>
  <si>
    <t>Autohome Inc. (China)</t>
  </si>
  <si>
    <t>NYSE</t>
  </si>
  <si>
    <t>AutoTrader (GB)</t>
  </si>
  <si>
    <t>LSE</t>
  </si>
  <si>
    <t>Terminal Value (P/BV)</t>
  </si>
  <si>
    <t>Terminal Value Checking (PVGO)</t>
  </si>
  <si>
    <t>Value Of Buisness
(PVGO)</t>
  </si>
  <si>
    <t>В соответствии с предпосылками выбираем DCF-модель</t>
  </si>
  <si>
    <t>1. ИСХОДНЫЕ ДОПУЩЕНИЯ</t>
  </si>
  <si>
    <t>Показатель</t>
  </si>
  <si>
    <t>Значение</t>
  </si>
  <si>
    <t>Комментарий</t>
  </si>
  <si>
    <t>Выручка базового года</t>
  </si>
  <si>
    <t>Выручка за последний год</t>
  </si>
  <si>
    <t>D&amp;A (амортизация), % от выручки</t>
  </si>
  <si>
    <t>Бухгалтерский расход, не денежный</t>
  </si>
  <si>
    <t>Изменение NWC, % от выручки</t>
  </si>
  <si>
    <t>Налог на прибыль, %</t>
  </si>
  <si>
    <t>ставка дисконтирования, %</t>
  </si>
  <si>
    <t>Терминальный рост (g), %</t>
  </si>
  <si>
    <t>Долгосрочный темп роста</t>
  </si>
  <si>
    <t>EBITDA margin базового года, %</t>
  </si>
  <si>
    <t>Темп роста выручки по годам</t>
  </si>
  <si>
    <t>Год</t>
  </si>
  <si>
    <t>Рост выручки, %</t>
  </si>
  <si>
    <t>EBITDA margin</t>
  </si>
  <si>
    <t>CapEx, % от выручки</t>
  </si>
  <si>
    <t>2. ПРОГНОЗ ФИНАНСОВЫХ ПОКАЗАТЕЛЕЙ</t>
  </si>
  <si>
    <t>ПОКАЗАТЕЛЬ</t>
  </si>
  <si>
    <t>Выручка</t>
  </si>
  <si>
    <t>D&amp;A (амортизация)</t>
  </si>
  <si>
    <t>Налог (от EBIT)</t>
  </si>
  <si>
    <t>NOPAT(данные задания)</t>
  </si>
  <si>
    <t>округленный</t>
  </si>
  <si>
    <t>NOPAT(расчетный) = EBIT - tax</t>
  </si>
  <si>
    <t>неокругленный</t>
  </si>
  <si>
    <t>3. ОБОРОТНЫЙ КАПИТАЛ И FCFF</t>
  </si>
  <si>
    <t>(+) D&amp;A</t>
  </si>
  <si>
    <t>(-)CapEX</t>
  </si>
  <si>
    <t>Изменение NWC</t>
  </si>
  <si>
    <t>FCFF (данные задания)</t>
  </si>
  <si>
    <t>FCFF (расчетный)</t>
  </si>
  <si>
    <t>4. ДИСКОНТИРОВАНИЕ</t>
  </si>
  <si>
    <t>Номер года(t) с учетом распределения cash в течение года</t>
  </si>
  <si>
    <t>Коэф. Дисконтирования 1/(1+ставка дисконтирования)^t</t>
  </si>
  <si>
    <t>PV(FCFF) (данные задания)</t>
  </si>
  <si>
    <t>PV(FCFF) (расчетный)</t>
  </si>
  <si>
    <t>5. ТЕРМИНАЛЬНАЯ СТОИМОСТЬ И ОЦЕНКА</t>
  </si>
  <si>
    <t>Данные задания</t>
  </si>
  <si>
    <t>FCFF следующего года (данные задания)</t>
  </si>
  <si>
    <t>Terminal Value</t>
  </si>
  <si>
    <t>PV Terminal Value</t>
  </si>
  <si>
    <t>PV прогнозных FCFF</t>
  </si>
  <si>
    <t>(+) PV терминальной стоимости</t>
  </si>
  <si>
    <t>Enterpise Value (EV)</t>
  </si>
  <si>
    <t>Обязательства</t>
  </si>
  <si>
    <t>данные из отчетности</t>
  </si>
  <si>
    <t>ДС</t>
  </si>
  <si>
    <t>(+) Чистый долг (Обязательства - ДС)</t>
  </si>
  <si>
    <t>Equity Value</t>
  </si>
  <si>
    <t>Расчетные данные</t>
  </si>
  <si>
    <t>FCFF следующего года (расчетный)</t>
  </si>
  <si>
    <t>Параметр</t>
  </si>
  <si>
    <t>WACC</t>
  </si>
  <si>
    <t>Долгосрочный рост (g)</t>
  </si>
  <si>
    <t>Ставка налога</t>
  </si>
  <si>
    <t>Чистый долг</t>
  </si>
  <si>
    <t>Дата оценки</t>
  </si>
  <si>
    <t>% рост г/г</t>
  </si>
  <si>
    <t>% выручки</t>
  </si>
  <si>
    <t>% ставки налога</t>
  </si>
  <si>
    <t>Капитальные затраты</t>
  </si>
  <si>
    <t>Уменьшение/(увеличение) оборотного капитала</t>
  </si>
  <si>
    <t>FCF</t>
  </si>
  <si>
    <t>К дисконтирования</t>
  </si>
  <si>
    <t>PV FCF</t>
  </si>
  <si>
    <t>Сумм PV FCF</t>
  </si>
  <si>
    <t>FCF в последний год (2035)</t>
  </si>
  <si>
    <t>TV</t>
  </si>
  <si>
    <t>PV TV</t>
  </si>
  <si>
    <t>EV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</si>
</sst>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14">
    <font>
      <sz val="10.0"/>
      <color rgb="FF000000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  <font/>
    <font>
      <sz val="11.0"/>
      <color rgb="FF000000"/>
      <name val="Calibri"/>
    </font>
    <font>
      <color rgb="FF000000"/>
      <name val="&quot;Century Gothic&quot;"/>
    </font>
    <font>
      <i/>
      <color rgb="FF757171"/>
      <name val="&quot;Century Gothic&quot;"/>
    </font>
    <font>
      <b/>
      <color rgb="FFFFFFFF"/>
      <name val="&quot;Century Gothic&quot;"/>
    </font>
    <font>
      <b/>
      <color rgb="FF000000"/>
      <name val="&quot;Century Gothic&quot;"/>
    </font>
    <font>
      <b/>
      <color rgb="FF0033CC"/>
      <name val="&quot;Century Gothic&quot;"/>
    </font>
    <font>
      <i/>
      <color rgb="FF000000"/>
      <name val="&quot;Century Gothic&quot;"/>
    </font>
    <font>
      <i/>
      <sz val="11.0"/>
      <color rgb="FF808080"/>
      <name val="Calibri"/>
    </font>
    <font>
      <sz val="11.0"/>
      <color theme="1"/>
      <name val="Calibri"/>
    </font>
    <font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FFFF00"/>
        <bgColor rgb="FFFFFF00"/>
      </patternFill>
    </fill>
    <fill>
      <patternFill patternType="solid">
        <fgColor rgb="FF003366"/>
        <bgColor rgb="FF003366"/>
      </patternFill>
    </fill>
    <fill>
      <patternFill patternType="solid">
        <fgColor rgb="FFD0CEE1"/>
        <bgColor rgb="FFD0CEE1"/>
      </patternFill>
    </fill>
    <fill>
      <patternFill patternType="solid">
        <fgColor rgb="FFE7E6E6"/>
        <bgColor rgb="FFE7E6E6"/>
      </patternFill>
    </fill>
    <fill>
      <patternFill patternType="solid">
        <fgColor rgb="FFFFFFCC"/>
        <bgColor rgb="FFFFFFCC"/>
      </patternFill>
    </fill>
    <fill>
      <patternFill patternType="solid">
        <fgColor rgb="FFFCE4D6"/>
        <bgColor rgb="FFFCE4D6"/>
      </patternFill>
    </fill>
    <fill>
      <patternFill patternType="solid">
        <fgColor rgb="FFFFF2CB"/>
        <bgColor rgb="FFFFF2CB"/>
      </patternFill>
    </fill>
    <fill>
      <patternFill patternType="solid">
        <fgColor rgb="FFFF9900"/>
        <bgColor rgb="FFFF9900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</border>
    <border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9" xfId="0" applyAlignment="1" applyFont="1" applyNumberFormat="1">
      <alignment readingOrder="0"/>
    </xf>
    <xf borderId="1" fillId="0" fontId="2" numFmtId="0" xfId="0" applyAlignment="1" applyBorder="1" applyFont="1">
      <alignment readingOrder="0"/>
    </xf>
    <xf borderId="2" fillId="0" fontId="2" numFmtId="0" xfId="0" applyBorder="1" applyFont="1"/>
    <xf borderId="2" fillId="0" fontId="2" numFmtId="0" xfId="0" applyAlignment="1" applyBorder="1" applyFont="1">
      <alignment readingOrder="0"/>
    </xf>
    <xf borderId="3" fillId="0" fontId="2" numFmtId="0" xfId="0" applyAlignment="1" applyBorder="1" applyFont="1">
      <alignment readingOrder="0"/>
    </xf>
    <xf borderId="4" fillId="0" fontId="2" numFmtId="0" xfId="0" applyBorder="1" applyFont="1"/>
    <xf borderId="5" fillId="0" fontId="2" numFmtId="0" xfId="0" applyBorder="1" applyFont="1"/>
    <xf borderId="5" fillId="0" fontId="3" numFmtId="0" xfId="0" applyBorder="1" applyFont="1"/>
    <xf borderId="6" fillId="0" fontId="3" numFmtId="0" xfId="0" applyBorder="1" applyFont="1"/>
    <xf borderId="5" fillId="0" fontId="2" numFmtId="0" xfId="0" applyAlignment="1" applyBorder="1" applyFont="1">
      <alignment readingOrder="0"/>
    </xf>
    <xf borderId="5" fillId="0" fontId="2" numFmtId="2" xfId="0" applyBorder="1" applyFont="1" applyNumberFormat="1"/>
    <xf borderId="6" fillId="0" fontId="2" numFmtId="2" xfId="0" applyBorder="1" applyFont="1" applyNumberFormat="1"/>
    <xf borderId="7" fillId="0" fontId="2" numFmtId="0" xfId="0" applyAlignment="1" applyBorder="1" applyFont="1">
      <alignment readingOrder="0"/>
    </xf>
    <xf borderId="8" fillId="0" fontId="2" numFmtId="0" xfId="0" applyBorder="1" applyFont="1"/>
    <xf borderId="8" fillId="0" fontId="2" numFmtId="0" xfId="0" applyAlignment="1" applyBorder="1" applyFont="1">
      <alignment readingOrder="0"/>
    </xf>
    <xf borderId="9" fillId="0" fontId="2" numFmtId="0" xfId="0" applyAlignment="1" applyBorder="1" applyFont="1">
      <alignment readingOrder="0"/>
    </xf>
    <xf borderId="10" fillId="0" fontId="2" numFmtId="0" xfId="0" applyAlignment="1" applyBorder="1" applyFont="1">
      <alignment readingOrder="0"/>
    </xf>
    <xf borderId="3" fillId="0" fontId="2" numFmtId="0" xfId="0" applyBorder="1" applyFont="1"/>
    <xf borderId="6" fillId="0" fontId="2" numFmtId="0" xfId="0" applyBorder="1" applyFont="1"/>
    <xf borderId="6" fillId="0" fontId="2" numFmtId="0" xfId="0" applyAlignment="1" applyBorder="1" applyFont="1">
      <alignment readingOrder="0"/>
    </xf>
    <xf borderId="4" fillId="0" fontId="2" numFmtId="0" xfId="0" applyAlignment="1" applyBorder="1" applyFont="1">
      <alignment readingOrder="0"/>
    </xf>
    <xf borderId="0" fillId="2" fontId="2" numFmtId="0" xfId="0" applyAlignment="1" applyFont="1">
      <alignment horizontal="center" readingOrder="0"/>
    </xf>
    <xf borderId="3" fillId="0" fontId="2" numFmtId="2" xfId="0" applyBorder="1" applyFont="1" applyNumberFormat="1"/>
    <xf borderId="1" fillId="0" fontId="2" numFmtId="2" xfId="0" applyBorder="1" applyFont="1" applyNumberFormat="1"/>
    <xf borderId="1" fillId="0" fontId="2" numFmtId="0" xfId="0" applyBorder="1" applyFont="1"/>
    <xf borderId="9" fillId="0" fontId="2" numFmtId="0" xfId="0" applyBorder="1" applyFont="1"/>
    <xf borderId="11" fillId="0" fontId="2" numFmtId="0" xfId="0" applyAlignment="1" applyBorder="1" applyFont="1">
      <alignment horizontal="center" readingOrder="0"/>
    </xf>
    <xf borderId="8" fillId="0" fontId="3" numFmtId="0" xfId="0" applyBorder="1" applyFont="1"/>
    <xf borderId="8" fillId="0" fontId="2" numFmtId="0" xfId="0" applyAlignment="1" applyBorder="1" applyFont="1">
      <alignment horizontal="center"/>
    </xf>
    <xf borderId="8" fillId="3" fontId="2" numFmtId="0" xfId="0" applyAlignment="1" applyBorder="1" applyFill="1" applyFont="1">
      <alignment horizontal="center" readingOrder="0"/>
    </xf>
    <xf borderId="9" fillId="3" fontId="2" numFmtId="0" xfId="0" applyAlignment="1" applyBorder="1" applyFont="1">
      <alignment horizontal="center"/>
    </xf>
    <xf borderId="12" fillId="0" fontId="2" numFmtId="0" xfId="0" applyAlignment="1" applyBorder="1" applyFont="1">
      <alignment horizontal="center" readingOrder="0"/>
    </xf>
    <xf borderId="2" fillId="0" fontId="3" numFmtId="0" xfId="0" applyBorder="1" applyFont="1"/>
    <xf borderId="2" fillId="3" fontId="2" numFmtId="0" xfId="0" applyAlignment="1" applyBorder="1" applyFont="1">
      <alignment horizontal="center" readingOrder="0"/>
    </xf>
    <xf borderId="3" fillId="3" fontId="2" numFmtId="0" xfId="0" applyBorder="1" applyFont="1"/>
    <xf borderId="13" fillId="0" fontId="2" numFmtId="0" xfId="0" applyBorder="1" applyFont="1"/>
    <xf borderId="12" fillId="0" fontId="2" numFmtId="0" xfId="0" applyBorder="1" applyFont="1"/>
    <xf borderId="14" fillId="0" fontId="2" numFmtId="0" xfId="0" applyBorder="1" applyFont="1"/>
    <xf borderId="10" fillId="0" fontId="2" numFmtId="0" xfId="0" applyBorder="1" applyFont="1"/>
    <xf borderId="9" fillId="0" fontId="3" numFmtId="0" xfId="0" applyBorder="1" applyFont="1"/>
    <xf borderId="7" fillId="0" fontId="2" numFmtId="0" xfId="0" applyBorder="1" applyFont="1"/>
    <xf borderId="5" fillId="0" fontId="2" numFmtId="0" xfId="0" applyAlignment="1" applyBorder="1" applyFont="1">
      <alignment horizontal="center" readingOrder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4" fontId="7" numFmtId="0" xfId="0" applyAlignment="1" applyFill="1" applyFont="1">
      <alignment horizontal="left" readingOrder="0" shrinkToFit="0" wrapText="0"/>
    </xf>
    <xf borderId="0" fillId="5" fontId="8" numFmtId="0" xfId="0" applyAlignment="1" applyFill="1" applyFont="1">
      <alignment horizontal="left" readingOrder="0" shrinkToFit="0" wrapText="0"/>
    </xf>
    <xf borderId="0" fillId="0" fontId="5" numFmtId="0" xfId="0" applyAlignment="1" applyFont="1">
      <alignment readingOrder="0" shrinkToFit="0" vertical="bottom" wrapText="0"/>
    </xf>
    <xf borderId="0" fillId="0" fontId="9" numFmtId="0" xfId="0" applyAlignment="1" applyFont="1">
      <alignment horizontal="right" readingOrder="0" shrinkToFit="0" vertical="bottom" wrapText="0"/>
    </xf>
    <xf borderId="0" fillId="0" fontId="9" numFmtId="10" xfId="0" applyAlignment="1" applyFont="1" applyNumberFormat="1">
      <alignment horizontal="right" readingOrder="0" shrinkToFit="0" vertical="bottom" wrapText="0"/>
    </xf>
    <xf borderId="0" fillId="0" fontId="10" numFmtId="0" xfId="0" applyAlignment="1" applyFont="1">
      <alignment shrinkToFit="0" vertical="bottom" wrapText="0"/>
    </xf>
    <xf borderId="0" fillId="0" fontId="9" numFmtId="9" xfId="0" applyAlignment="1" applyFont="1" applyNumberFormat="1">
      <alignment horizontal="right" readingOrder="0" shrinkToFit="0" vertical="bottom" wrapText="0"/>
    </xf>
    <xf borderId="0" fillId="0" fontId="9" numFmtId="0" xfId="0" applyAlignment="1" applyFont="1">
      <alignment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8" numFmtId="0" xfId="0" applyAlignment="1" applyFont="1">
      <alignment shrinkToFit="0" vertical="bottom" wrapText="0"/>
    </xf>
    <xf borderId="0" fillId="5" fontId="8" numFmtId="0" xfId="0" applyAlignment="1" applyFont="1">
      <alignment horizontal="right" readingOrder="0" shrinkToFit="0" vertical="bottom" wrapText="0"/>
    </xf>
    <xf borderId="0" fillId="5" fontId="8" numFmtId="0" xfId="0" applyAlignment="1" applyFont="1">
      <alignment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6" fontId="5" numFmtId="0" xfId="0" applyAlignment="1" applyFill="1" applyFont="1">
      <alignment readingOrder="0" shrinkToFit="0" vertical="bottom" wrapText="0"/>
    </xf>
    <xf borderId="0" fillId="6" fontId="5" numFmtId="0" xfId="0" applyAlignment="1" applyFont="1">
      <alignment horizontal="right" readingOrder="0" shrinkToFit="0" vertical="bottom" wrapText="0"/>
    </xf>
    <xf borderId="0" fillId="0" fontId="11" numFmtId="0" xfId="0" applyAlignment="1" applyFont="1">
      <alignment readingOrder="0" shrinkToFit="0" vertical="bottom" wrapText="0"/>
    </xf>
    <xf borderId="0" fillId="7" fontId="5" numFmtId="0" xfId="0" applyAlignment="1" applyFill="1" applyFont="1">
      <alignment readingOrder="0" shrinkToFit="0" vertical="bottom" wrapText="0"/>
    </xf>
    <xf borderId="0" fillId="7" fontId="5" numFmtId="0" xfId="0" applyAlignment="1" applyFont="1">
      <alignment horizontal="right" readingOrder="0" shrinkToFit="0" vertical="bottom" wrapText="0"/>
    </xf>
    <xf borderId="0" fillId="0" fontId="10" numFmtId="0" xfId="0" applyAlignment="1" applyFont="1">
      <alignment readingOrder="0" shrinkToFit="0" vertical="bottom" wrapText="0"/>
    </xf>
    <xf borderId="0" fillId="4" fontId="7" numFmtId="0" xfId="0" applyAlignment="1" applyFont="1">
      <alignment horizontal="left" shrinkToFit="0" wrapText="0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left" readingOrder="0" shrinkToFit="0" wrapText="0"/>
    </xf>
    <xf borderId="0" fillId="0" fontId="5" numFmtId="0" xfId="0" applyAlignment="1" applyFont="1">
      <alignment horizontal="left" readingOrder="0" shrinkToFit="0" vertical="bottom" wrapText="0"/>
    </xf>
    <xf borderId="0" fillId="0" fontId="5" numFmtId="0" xfId="0" applyAlignment="1" applyFont="1">
      <alignment horizontal="left" shrinkToFit="0" vertical="bottom" wrapText="0"/>
    </xf>
    <xf borderId="0" fillId="6" fontId="5" numFmtId="0" xfId="0" applyAlignment="1" applyFont="1">
      <alignment horizontal="left" readingOrder="0" vertical="top"/>
    </xf>
    <xf borderId="0" fillId="6" fontId="5" numFmtId="0" xfId="0" applyAlignment="1" applyFont="1">
      <alignment horizontal="left" readingOrder="0" shrinkToFit="0" wrapText="0"/>
    </xf>
    <xf borderId="0" fillId="7" fontId="5" numFmtId="0" xfId="0" applyAlignment="1" applyFont="1">
      <alignment horizontal="left" readingOrder="0" shrinkToFit="0" wrapText="0"/>
    </xf>
    <xf borderId="0" fillId="7" fontId="5" numFmtId="0" xfId="0" applyAlignment="1" applyFont="1">
      <alignment horizontal="left" readingOrder="0" shrinkToFit="0" vertical="bottom" wrapText="0"/>
    </xf>
    <xf borderId="0" fillId="5" fontId="8" numFmtId="0" xfId="0" applyAlignment="1" applyFont="1">
      <alignment horizontal="left" readingOrder="0" shrinkToFit="0" vertical="bottom" wrapText="0"/>
    </xf>
    <xf borderId="0" fillId="0" fontId="5" numFmtId="0" xfId="0" applyAlignment="1" applyFont="1">
      <alignment shrinkToFit="0" wrapText="0"/>
    </xf>
    <xf borderId="0" fillId="8" fontId="8" numFmtId="0" xfId="0" applyAlignment="1" applyFill="1" applyFont="1">
      <alignment readingOrder="0" shrinkToFit="0" vertical="bottom" wrapText="0"/>
    </xf>
    <xf borderId="0" fillId="8" fontId="8" numFmtId="0" xfId="0" applyAlignment="1" applyFont="1">
      <alignment horizontal="right" readingOrder="0" shrinkToFit="0" vertical="bottom" wrapText="0"/>
    </xf>
    <xf borderId="5" fillId="0" fontId="5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shrinkToFit="0" wrapText="0"/>
    </xf>
    <xf borderId="0" fillId="0" fontId="12" numFmtId="0" xfId="0" applyAlignment="1" applyFont="1">
      <alignment vertical="bottom"/>
    </xf>
    <xf borderId="0" fillId="0" fontId="12" numFmtId="0" xfId="0" applyAlignment="1" applyFont="1">
      <alignment vertical="bottom"/>
    </xf>
    <xf borderId="0" fillId="0" fontId="12" numFmtId="9" xfId="0" applyAlignment="1" applyFont="1" applyNumberFormat="1">
      <alignment horizontal="right" vertical="bottom"/>
    </xf>
    <xf borderId="0" fillId="0" fontId="12" numFmtId="0" xfId="0" applyAlignment="1" applyFont="1">
      <alignment horizontal="right" vertical="bottom"/>
    </xf>
    <xf borderId="0" fillId="0" fontId="12" numFmtId="14" xfId="0" applyAlignment="1" applyFont="1" applyNumberFormat="1">
      <alignment horizontal="right" vertical="bottom"/>
    </xf>
    <xf borderId="15" fillId="0" fontId="13" numFmtId="0" xfId="0" applyAlignment="1" applyBorder="1" applyFont="1">
      <alignment vertical="bottom"/>
    </xf>
    <xf borderId="15" fillId="0" fontId="13" numFmtId="0" xfId="0" applyAlignment="1" applyBorder="1" applyFont="1">
      <alignment horizontal="center"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13" numFmtId="164" xfId="0" applyAlignment="1" applyFont="1" applyNumberFormat="1">
      <alignment horizontal="right" vertical="bottom"/>
    </xf>
    <xf borderId="16" fillId="9" fontId="13" numFmtId="0" xfId="0" applyAlignment="1" applyBorder="1" applyFill="1" applyFont="1">
      <alignment vertical="bottom"/>
    </xf>
    <xf borderId="16" fillId="9" fontId="13" numFmtId="164" xfId="0" applyAlignment="1" applyBorder="1" applyFont="1" applyNumberFormat="1">
      <alignment horizontal="right" vertical="bottom"/>
    </xf>
    <xf borderId="0" fillId="0" fontId="12" numFmtId="164" xfId="0" applyAlignment="1" applyFont="1" applyNumberFormat="1">
      <alignment horizontal="right" vertical="bottom"/>
    </xf>
    <xf borderId="0" fillId="0" fontId="12" numFmtId="2" xfId="0" applyAlignment="1" applyFont="1" applyNumberFormat="1">
      <alignment horizontal="right" vertical="bottom"/>
    </xf>
    <xf borderId="0" fillId="0" fontId="12" numFmtId="2" xfId="0" applyAlignment="1" applyFont="1" applyNumberFormat="1">
      <alignment vertical="bottom"/>
    </xf>
    <xf borderId="0" fillId="10" fontId="12" numFmtId="0" xfId="0" applyAlignment="1" applyFill="1" applyFont="1">
      <alignment vertical="bottom"/>
    </xf>
    <xf borderId="0" fillId="10" fontId="12" numFmtId="2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6.5"/>
  </cols>
  <sheetData>
    <row r="1">
      <c r="A1" s="1" t="s">
        <v>0</v>
      </c>
      <c r="B1" s="2">
        <v>35.0</v>
      </c>
    </row>
    <row r="2">
      <c r="A2" s="1" t="s">
        <v>1</v>
      </c>
      <c r="B2" s="2">
        <v>10.0</v>
      </c>
    </row>
    <row r="3">
      <c r="A3" s="1" t="s">
        <v>2</v>
      </c>
      <c r="B3" s="2">
        <v>45.0</v>
      </c>
    </row>
    <row r="4">
      <c r="A4" s="1" t="s">
        <v>3</v>
      </c>
      <c r="B4" s="3">
        <v>0.35</v>
      </c>
    </row>
    <row r="6">
      <c r="A6" s="1" t="s">
        <v>4</v>
      </c>
    </row>
    <row r="8">
      <c r="A8" s="2" t="s">
        <v>5</v>
      </c>
    </row>
    <row r="9">
      <c r="A9" s="2" t="s">
        <v>6</v>
      </c>
    </row>
    <row r="12" ht="34.5" customHeight="1"/>
    <row r="13">
      <c r="A13" s="2" t="s">
        <v>7</v>
      </c>
    </row>
    <row r="14" ht="41.25" customHeight="1">
      <c r="A14" s="2" t="s">
        <v>8</v>
      </c>
    </row>
    <row r="15">
      <c r="A15" s="2" t="s">
        <v>9</v>
      </c>
    </row>
    <row r="16" ht="46.5" customHeight="1">
      <c r="A16" s="2" t="s">
        <v>10</v>
      </c>
    </row>
    <row r="17">
      <c r="A17" s="2" t="s">
        <v>11</v>
      </c>
    </row>
    <row r="18">
      <c r="A18" s="2" t="s">
        <v>12</v>
      </c>
    </row>
    <row r="19">
      <c r="A19" s="2" t="s">
        <v>13</v>
      </c>
    </row>
    <row r="20">
      <c r="A20" s="2" t="s">
        <v>14</v>
      </c>
    </row>
  </sheetData>
  <mergeCells count="1">
    <mergeCell ref="A9:A1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</cols>
  <sheetData>
    <row r="1">
      <c r="A1" s="4" t="s">
        <v>15</v>
      </c>
      <c r="B1" s="5"/>
      <c r="C1" s="6" t="s">
        <v>16</v>
      </c>
      <c r="D1" s="6" t="s">
        <v>17</v>
      </c>
      <c r="E1" s="6" t="s">
        <v>18</v>
      </c>
      <c r="F1" s="6" t="s">
        <v>19</v>
      </c>
      <c r="G1" s="6" t="s">
        <v>20</v>
      </c>
      <c r="H1" s="6" t="s">
        <v>21</v>
      </c>
      <c r="I1" s="6" t="s">
        <v>22</v>
      </c>
      <c r="J1" s="6" t="s">
        <v>23</v>
      </c>
      <c r="K1" s="6" t="s">
        <v>24</v>
      </c>
      <c r="L1" s="6" t="s">
        <v>25</v>
      </c>
      <c r="M1" s="7" t="s">
        <v>26</v>
      </c>
    </row>
    <row r="2">
      <c r="A2" s="8"/>
      <c r="B2" s="9"/>
      <c r="C2" s="10"/>
      <c r="D2" s="10"/>
      <c r="E2" s="10"/>
      <c r="F2" s="10"/>
      <c r="G2" s="10"/>
      <c r="H2" s="10"/>
      <c r="I2" s="10"/>
      <c r="J2" s="10"/>
      <c r="K2" s="10"/>
      <c r="L2" s="10"/>
      <c r="M2" s="11"/>
    </row>
    <row r="3">
      <c r="A3" s="4" t="s">
        <v>27</v>
      </c>
      <c r="B3" s="5"/>
      <c r="C3" s="6">
        <v>10.0</v>
      </c>
      <c r="D3" s="6">
        <v>11.5</v>
      </c>
      <c r="E3" s="6">
        <v>15.0</v>
      </c>
      <c r="F3" s="6">
        <v>18.7</v>
      </c>
      <c r="G3" s="6">
        <v>22.4</v>
      </c>
      <c r="H3" s="6">
        <v>25.8</v>
      </c>
      <c r="I3" s="6">
        <v>28.4</v>
      </c>
      <c r="J3" s="6">
        <v>30.9</v>
      </c>
      <c r="K3" s="6">
        <v>33.4</v>
      </c>
      <c r="L3" s="6">
        <v>35.7</v>
      </c>
      <c r="M3" s="7">
        <v>37.9</v>
      </c>
    </row>
    <row r="4">
      <c r="A4" s="8"/>
      <c r="B4" s="12" t="s">
        <v>28</v>
      </c>
      <c r="C4" s="9"/>
      <c r="D4" s="9">
        <f t="shared" ref="D4:M4" si="1">(D3-C3)/C3</f>
        <v>0.15</v>
      </c>
      <c r="E4" s="13">
        <f t="shared" si="1"/>
        <v>0.3043478261</v>
      </c>
      <c r="F4" s="13">
        <f t="shared" si="1"/>
        <v>0.2466666667</v>
      </c>
      <c r="G4" s="13">
        <f t="shared" si="1"/>
        <v>0.1978609626</v>
      </c>
      <c r="H4" s="13">
        <f t="shared" si="1"/>
        <v>0.1517857143</v>
      </c>
      <c r="I4" s="13">
        <f t="shared" si="1"/>
        <v>0.1007751938</v>
      </c>
      <c r="J4" s="13">
        <f t="shared" si="1"/>
        <v>0.08802816901</v>
      </c>
      <c r="K4" s="13">
        <f t="shared" si="1"/>
        <v>0.08090614887</v>
      </c>
      <c r="L4" s="13">
        <f t="shared" si="1"/>
        <v>0.06886227545</v>
      </c>
      <c r="M4" s="14">
        <f t="shared" si="1"/>
        <v>0.06162464986</v>
      </c>
    </row>
    <row r="5">
      <c r="A5" s="4" t="s">
        <v>29</v>
      </c>
      <c r="B5" s="5"/>
      <c r="C5" s="6">
        <v>3.5</v>
      </c>
      <c r="D5" s="6">
        <v>4.3</v>
      </c>
      <c r="E5" s="6">
        <v>6.0</v>
      </c>
      <c r="F5" s="6">
        <v>8.0</v>
      </c>
      <c r="G5" s="6">
        <v>10.3</v>
      </c>
      <c r="H5" s="6">
        <v>12.9</v>
      </c>
      <c r="I5" s="6">
        <v>14.2</v>
      </c>
      <c r="J5" s="6">
        <v>15.5</v>
      </c>
      <c r="K5" s="6">
        <v>16.7</v>
      </c>
      <c r="L5" s="6">
        <v>17.9</v>
      </c>
      <c r="M5" s="7">
        <v>18.9</v>
      </c>
    </row>
    <row r="6">
      <c r="A6" s="8"/>
      <c r="B6" s="12" t="s">
        <v>30</v>
      </c>
      <c r="C6" s="9">
        <f t="shared" ref="C6:M6" si="2">C5/C3</f>
        <v>0.35</v>
      </c>
      <c r="D6" s="13">
        <f t="shared" si="2"/>
        <v>0.3739130435</v>
      </c>
      <c r="E6" s="9">
        <f t="shared" si="2"/>
        <v>0.4</v>
      </c>
      <c r="F6" s="13">
        <f t="shared" si="2"/>
        <v>0.4278074866</v>
      </c>
      <c r="G6" s="13">
        <f t="shared" si="2"/>
        <v>0.4598214286</v>
      </c>
      <c r="H6" s="13">
        <f t="shared" si="2"/>
        <v>0.5</v>
      </c>
      <c r="I6" s="9">
        <f t="shared" si="2"/>
        <v>0.5</v>
      </c>
      <c r="J6" s="13">
        <f t="shared" si="2"/>
        <v>0.501618123</v>
      </c>
      <c r="K6" s="9">
        <f t="shared" si="2"/>
        <v>0.5</v>
      </c>
      <c r="L6" s="13">
        <f t="shared" si="2"/>
        <v>0.5014005602</v>
      </c>
      <c r="M6" s="14">
        <f t="shared" si="2"/>
        <v>0.4986807388</v>
      </c>
    </row>
    <row r="7">
      <c r="A7" s="4" t="s">
        <v>31</v>
      </c>
      <c r="B7" s="5"/>
      <c r="C7" s="6">
        <v>0.1</v>
      </c>
      <c r="D7" s="6">
        <v>0.1</v>
      </c>
      <c r="E7" s="6">
        <v>0.1</v>
      </c>
      <c r="F7" s="6">
        <v>0.2</v>
      </c>
      <c r="G7" s="6">
        <v>0.2</v>
      </c>
      <c r="H7" s="6">
        <v>0.3</v>
      </c>
      <c r="I7" s="6">
        <v>0.3</v>
      </c>
      <c r="J7" s="6">
        <v>0.3</v>
      </c>
      <c r="K7" s="6">
        <v>0.3</v>
      </c>
      <c r="L7" s="6">
        <v>0.4</v>
      </c>
      <c r="M7" s="7">
        <v>0.4</v>
      </c>
    </row>
    <row r="8">
      <c r="A8" s="8"/>
      <c r="B8" s="12" t="s">
        <v>30</v>
      </c>
      <c r="C8" s="9">
        <f t="shared" ref="C8:M8" si="3">C7/C3</f>
        <v>0.01</v>
      </c>
      <c r="D8" s="13">
        <f t="shared" si="3"/>
        <v>0.008695652174</v>
      </c>
      <c r="E8" s="13">
        <f t="shared" si="3"/>
        <v>0.006666666667</v>
      </c>
      <c r="F8" s="13">
        <f t="shared" si="3"/>
        <v>0.01069518717</v>
      </c>
      <c r="G8" s="13">
        <f t="shared" si="3"/>
        <v>0.008928571429</v>
      </c>
      <c r="H8" s="13">
        <f t="shared" si="3"/>
        <v>0.01162790698</v>
      </c>
      <c r="I8" s="13">
        <f t="shared" si="3"/>
        <v>0.01056338028</v>
      </c>
      <c r="J8" s="13">
        <f t="shared" si="3"/>
        <v>0.009708737864</v>
      </c>
      <c r="K8" s="13">
        <f t="shared" si="3"/>
        <v>0.008982035928</v>
      </c>
      <c r="L8" s="13">
        <f t="shared" si="3"/>
        <v>0.01120448179</v>
      </c>
      <c r="M8" s="14">
        <f t="shared" si="3"/>
        <v>0.01055408971</v>
      </c>
    </row>
    <row r="9">
      <c r="A9" s="15" t="s">
        <v>32</v>
      </c>
      <c r="B9" s="16"/>
      <c r="C9" s="17">
        <v>2.6</v>
      </c>
      <c r="D9" s="17">
        <v>3.1</v>
      </c>
      <c r="E9" s="17">
        <v>4.4</v>
      </c>
      <c r="F9" s="17">
        <v>5.9</v>
      </c>
      <c r="G9" s="17">
        <v>7.6</v>
      </c>
      <c r="H9" s="17">
        <v>9.5</v>
      </c>
      <c r="I9" s="17">
        <v>10.4</v>
      </c>
      <c r="J9" s="17">
        <v>11.4</v>
      </c>
      <c r="K9" s="17">
        <v>12.3</v>
      </c>
      <c r="L9" s="17">
        <v>13.1</v>
      </c>
      <c r="M9" s="18">
        <v>13.9</v>
      </c>
    </row>
    <row r="10">
      <c r="A10" s="19" t="s">
        <v>33</v>
      </c>
      <c r="C10" s="2">
        <v>0.25</v>
      </c>
      <c r="D10" s="2">
        <v>0.25</v>
      </c>
      <c r="E10" s="2">
        <v>0.25</v>
      </c>
      <c r="F10" s="2">
        <v>0.25</v>
      </c>
      <c r="G10" s="2">
        <v>0.25</v>
      </c>
      <c r="H10" s="2">
        <v>0.25</v>
      </c>
      <c r="I10" s="2">
        <v>0.25</v>
      </c>
      <c r="J10" s="2">
        <v>0.25</v>
      </c>
      <c r="K10" s="2">
        <v>0.25</v>
      </c>
      <c r="L10" s="2">
        <v>0.25</v>
      </c>
      <c r="M10" s="19">
        <v>0.25</v>
      </c>
    </row>
    <row r="11">
      <c r="A11" s="4" t="s">
        <v>34</v>
      </c>
      <c r="B11" s="5"/>
      <c r="C11" s="6">
        <v>0.2</v>
      </c>
      <c r="D11" s="6">
        <v>0.2</v>
      </c>
      <c r="E11" s="6">
        <v>0.3</v>
      </c>
      <c r="F11" s="6">
        <v>0.4</v>
      </c>
      <c r="G11" s="6">
        <v>0.4</v>
      </c>
      <c r="H11" s="6">
        <v>0.5</v>
      </c>
      <c r="I11" s="6">
        <v>0.5</v>
      </c>
      <c r="J11" s="6">
        <v>0.5</v>
      </c>
      <c r="K11" s="6">
        <v>0.5</v>
      </c>
      <c r="L11" s="6">
        <v>0.4</v>
      </c>
      <c r="M11" s="7">
        <v>0.4</v>
      </c>
    </row>
    <row r="12">
      <c r="A12" s="8"/>
      <c r="B12" s="12" t="s">
        <v>30</v>
      </c>
      <c r="C12" s="13">
        <f t="shared" ref="C12:M12" si="4">C11/C3</f>
        <v>0.02</v>
      </c>
      <c r="D12" s="13">
        <f t="shared" si="4"/>
        <v>0.01739130435</v>
      </c>
      <c r="E12" s="13">
        <f t="shared" si="4"/>
        <v>0.02</v>
      </c>
      <c r="F12" s="13">
        <f t="shared" si="4"/>
        <v>0.02139037433</v>
      </c>
      <c r="G12" s="13">
        <f t="shared" si="4"/>
        <v>0.01785714286</v>
      </c>
      <c r="H12" s="13">
        <f t="shared" si="4"/>
        <v>0.01937984496</v>
      </c>
      <c r="I12" s="13">
        <f t="shared" si="4"/>
        <v>0.0176056338</v>
      </c>
      <c r="J12" s="13">
        <f t="shared" si="4"/>
        <v>0.01618122977</v>
      </c>
      <c r="K12" s="13">
        <f t="shared" si="4"/>
        <v>0.01497005988</v>
      </c>
      <c r="L12" s="13">
        <f t="shared" si="4"/>
        <v>0.01120448179</v>
      </c>
      <c r="M12" s="14">
        <f t="shared" si="4"/>
        <v>0.01055408971</v>
      </c>
    </row>
    <row r="13">
      <c r="A13" s="4" t="s">
        <v>35</v>
      </c>
      <c r="B13" s="5"/>
      <c r="C13" s="6">
        <v>0.2</v>
      </c>
      <c r="D13" s="6">
        <v>0.2</v>
      </c>
      <c r="E13" s="6">
        <v>0.3</v>
      </c>
      <c r="F13" s="6">
        <v>0.4</v>
      </c>
      <c r="G13" s="6">
        <v>0.4</v>
      </c>
      <c r="H13" s="6">
        <v>0.5</v>
      </c>
      <c r="I13" s="6">
        <v>0.6</v>
      </c>
      <c r="J13" s="6">
        <v>0.6</v>
      </c>
      <c r="K13" s="6">
        <v>0.7</v>
      </c>
      <c r="L13" s="6">
        <v>0.7</v>
      </c>
      <c r="M13" s="7">
        <v>0.8</v>
      </c>
    </row>
    <row r="14">
      <c r="A14" s="8"/>
      <c r="B14" s="12" t="s">
        <v>30</v>
      </c>
      <c r="C14" s="13">
        <f t="shared" ref="C14:M14" si="5">C13/C3</f>
        <v>0.02</v>
      </c>
      <c r="D14" s="13">
        <f t="shared" si="5"/>
        <v>0.01739130435</v>
      </c>
      <c r="E14" s="13">
        <f t="shared" si="5"/>
        <v>0.02</v>
      </c>
      <c r="F14" s="13">
        <f t="shared" si="5"/>
        <v>0.02139037433</v>
      </c>
      <c r="G14" s="13">
        <f t="shared" si="5"/>
        <v>0.01785714286</v>
      </c>
      <c r="H14" s="13">
        <f t="shared" si="5"/>
        <v>0.01937984496</v>
      </c>
      <c r="I14" s="13">
        <f t="shared" si="5"/>
        <v>0.02112676056</v>
      </c>
      <c r="J14" s="13">
        <f t="shared" si="5"/>
        <v>0.01941747573</v>
      </c>
      <c r="K14" s="13">
        <f t="shared" si="5"/>
        <v>0.02095808383</v>
      </c>
      <c r="L14" s="13">
        <f t="shared" si="5"/>
        <v>0.01960784314</v>
      </c>
      <c r="M14" s="14">
        <f t="shared" si="5"/>
        <v>0.02110817942</v>
      </c>
    </row>
  </sheetData>
  <mergeCells count="1">
    <mergeCell ref="B2:M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13.63"/>
    <col customWidth="1" min="5" max="5" width="16.63"/>
    <col customWidth="1" min="14" max="14" width="15.38"/>
  </cols>
  <sheetData>
    <row r="1">
      <c r="A1" s="4" t="s">
        <v>36</v>
      </c>
      <c r="B1" s="20"/>
      <c r="C1" s="7">
        <v>2026.0</v>
      </c>
      <c r="D1" s="4">
        <v>2027.0</v>
      </c>
      <c r="E1" s="4">
        <v>2028.0</v>
      </c>
      <c r="F1" s="4">
        <v>2029.0</v>
      </c>
      <c r="G1" s="4">
        <v>2030.0</v>
      </c>
      <c r="H1" s="4">
        <v>2031.0</v>
      </c>
      <c r="I1" s="4">
        <v>2032.0</v>
      </c>
      <c r="J1" s="4">
        <v>2033.0</v>
      </c>
      <c r="K1" s="4">
        <v>2034.0</v>
      </c>
      <c r="L1" s="4">
        <v>2035.0</v>
      </c>
    </row>
    <row r="2">
      <c r="A2" s="8"/>
      <c r="B2" s="21"/>
      <c r="C2" s="22">
        <v>1.0</v>
      </c>
      <c r="D2" s="23">
        <v>2.0</v>
      </c>
      <c r="E2" s="23">
        <v>3.0</v>
      </c>
      <c r="F2" s="23">
        <v>4.0</v>
      </c>
      <c r="G2" s="23">
        <v>5.0</v>
      </c>
      <c r="H2" s="23">
        <v>6.0</v>
      </c>
      <c r="I2" s="23">
        <v>7.0</v>
      </c>
      <c r="J2" s="23">
        <v>8.0</v>
      </c>
      <c r="K2" s="23">
        <v>9.0</v>
      </c>
      <c r="L2" s="23">
        <v>10.0</v>
      </c>
      <c r="N2" s="24" t="s">
        <v>37</v>
      </c>
      <c r="P2" s="24" t="s">
        <v>38</v>
      </c>
    </row>
    <row r="3">
      <c r="A3" s="4" t="s">
        <v>39</v>
      </c>
      <c r="B3" s="20"/>
      <c r="C3" s="25">
        <f>'Модель CF (Менеджмент)'!C9/$N3</f>
        <v>3.466666667</v>
      </c>
      <c r="D3" s="26">
        <f>'Модель CF (Менеджмент)'!D9/$N3</f>
        <v>4.133333333</v>
      </c>
      <c r="E3" s="26">
        <f>'Модель CF (Менеджмент)'!E9/$N3</f>
        <v>5.866666667</v>
      </c>
      <c r="F3" s="26">
        <f>'Модель CF (Менеджмент)'!F9/$N3</f>
        <v>7.866666667</v>
      </c>
      <c r="G3" s="26">
        <f>'Модель CF (Менеджмент)'!G9/$N3</f>
        <v>10.13333333</v>
      </c>
      <c r="H3" s="26">
        <f>'Модель CF (Менеджмент)'!H9/$N3</f>
        <v>12.66666667</v>
      </c>
      <c r="I3" s="26">
        <f>'Модель CF (Менеджмент)'!I9/$N3</f>
        <v>13.86666667</v>
      </c>
      <c r="J3" s="26">
        <f>'Модель CF (Менеджмент)'!J9/$N3</f>
        <v>15.2</v>
      </c>
      <c r="K3" s="26">
        <f>'Модель CF (Менеджмент)'!K9/$N3</f>
        <v>16.4</v>
      </c>
      <c r="L3" s="26">
        <f>'Модель CF (Менеджмент)'!L9/$N3</f>
        <v>17.46666667</v>
      </c>
      <c r="N3" s="24">
        <v>0.75</v>
      </c>
      <c r="P3" s="24">
        <v>0.2</v>
      </c>
    </row>
    <row r="4">
      <c r="A4" s="8"/>
      <c r="B4" s="21"/>
      <c r="C4" s="21"/>
      <c r="D4" s="8"/>
      <c r="E4" s="8"/>
      <c r="F4" s="8"/>
      <c r="G4" s="8"/>
      <c r="H4" s="8"/>
      <c r="I4" s="8"/>
      <c r="J4" s="8"/>
      <c r="K4" s="8"/>
      <c r="L4" s="8"/>
    </row>
    <row r="5">
      <c r="A5" s="4" t="s">
        <v>40</v>
      </c>
      <c r="B5" s="20"/>
      <c r="C5" s="25">
        <f>(C3 * (0.75) + 'Модель CF (Менеджмент)'!D7 - 'Модель CF (Менеджмент)'!D13 - 'Модель CF (Менеджмент)'!D11)</f>
        <v>2.3</v>
      </c>
      <c r="D5" s="26">
        <f>D3 * (0.75) + 'Модель CF (Менеджмент)'!E7 - 'Модель CF (Менеджмент)'!E13 - 'Модель CF (Менеджмент)'!E11</f>
        <v>2.6</v>
      </c>
      <c r="E5" s="26">
        <f>(E3 * (0.75) + 'Модель CF (Менеджмент)'!F7 - 'Модель CF (Менеджмент)'!F13 - 'Модель CF (Менеджмент)'!F11)</f>
        <v>3.8</v>
      </c>
      <c r="F5" s="26">
        <f>F3 * (0.75) + 'Модель CF (Менеджмент)'!G7 - 'Модель CF (Менеджмент)'!G13 - 'Модель CF (Менеджмент)'!G11</f>
        <v>5.3</v>
      </c>
      <c r="G5" s="26">
        <f>(G3 * (0.75) + 'Модель CF (Менеджмент)'!H7 - 'Модель CF (Менеджмент)'!H13 - 'Модель CF (Менеджмент)'!H11)</f>
        <v>6.9</v>
      </c>
      <c r="H5" s="26">
        <f>H3 * (0.75) + 'Модель CF (Менеджмент)'!I7 - 'Модель CF (Менеджмент)'!I13 - 'Модель CF (Менеджмент)'!I11</f>
        <v>8.7</v>
      </c>
      <c r="I5" s="26">
        <f>(I3 * (0.75) + 'Модель CF (Менеджмент)'!J7 - 'Модель CF (Менеджмент)'!J13 - 'Модель CF (Менеджмент)'!J11)</f>
        <v>9.6</v>
      </c>
      <c r="J5" s="26">
        <f>J3 * (0.75) + 'Модель CF (Менеджмент)'!K7 - 'Модель CF (Менеджмент)'!K13 - 'Модель CF (Менеджмент)'!K11</f>
        <v>10.5</v>
      </c>
      <c r="K5" s="26">
        <f>(K3 * (0.75) + 'Модель CF (Менеджмент)'!L7 - 'Модель CF (Менеджмент)'!L13 - 'Модель CF (Менеджмент)'!L11)</f>
        <v>11.6</v>
      </c>
      <c r="L5" s="26">
        <f>L3 * (0.75) + 'Модель CF (Менеджмент)'!M7 - 'Модель CF (Менеджмент)'!M13 - 'Модель CF (Менеджмент)'!M11</f>
        <v>12.3</v>
      </c>
    </row>
    <row r="6">
      <c r="A6" s="8"/>
      <c r="B6" s="21"/>
      <c r="C6" s="21"/>
      <c r="D6" s="8"/>
      <c r="E6" s="8"/>
      <c r="F6" s="8"/>
      <c r="G6" s="8"/>
      <c r="H6" s="8"/>
      <c r="I6" s="8"/>
      <c r="J6" s="8"/>
      <c r="K6" s="8"/>
      <c r="L6" s="8"/>
      <c r="N6" s="24" t="s">
        <v>41</v>
      </c>
    </row>
    <row r="7" ht="15.0" customHeight="1">
      <c r="A7" s="4" t="s">
        <v>42</v>
      </c>
      <c r="B7" s="20"/>
      <c r="C7" s="20">
        <f t="shared" ref="C7:L7" si="1">C5/(1+$P3)^C2</f>
        <v>1.916666667</v>
      </c>
      <c r="D7" s="27">
        <f t="shared" si="1"/>
        <v>1.805555556</v>
      </c>
      <c r="E7" s="27">
        <f t="shared" si="1"/>
        <v>2.199074074</v>
      </c>
      <c r="F7" s="27">
        <f t="shared" si="1"/>
        <v>2.555941358</v>
      </c>
      <c r="G7" s="27">
        <f t="shared" si="1"/>
        <v>2.772955247</v>
      </c>
      <c r="H7" s="27">
        <f t="shared" si="1"/>
        <v>2.913612397</v>
      </c>
      <c r="I7" s="27">
        <f t="shared" si="1"/>
        <v>2.679183813</v>
      </c>
      <c r="J7" s="27">
        <f t="shared" si="1"/>
        <v>2.441964413</v>
      </c>
      <c r="K7" s="27">
        <f t="shared" si="1"/>
        <v>2.248157714</v>
      </c>
      <c r="L7" s="27">
        <f t="shared" si="1"/>
        <v>1.98651867</v>
      </c>
      <c r="N7" s="24">
        <v>0.04</v>
      </c>
    </row>
    <row r="8">
      <c r="A8" s="8"/>
      <c r="B8" s="21"/>
      <c r="C8" s="21"/>
      <c r="D8" s="8"/>
      <c r="E8" s="8"/>
      <c r="F8" s="8"/>
      <c r="G8" s="8"/>
      <c r="H8" s="8"/>
      <c r="I8" s="8"/>
      <c r="J8" s="8"/>
      <c r="K8" s="8"/>
      <c r="L8" s="8"/>
    </row>
    <row r="9">
      <c r="A9" s="15" t="s">
        <v>43</v>
      </c>
      <c r="B9" s="28">
        <f>SUM(C7:K7)</f>
        <v>21.53311124</v>
      </c>
    </row>
    <row r="11" ht="31.5" customHeight="1">
      <c r="A11" s="29" t="s">
        <v>44</v>
      </c>
      <c r="B11" s="30"/>
      <c r="C11" s="31">
        <f> (1 / (1 + P3) ^ 9) * L5/(P3 - N7)</f>
        <v>14.89889002</v>
      </c>
      <c r="D11" s="16"/>
      <c r="E11" s="32" t="s">
        <v>45</v>
      </c>
      <c r="F11" s="33">
        <f>C11 + B9</f>
        <v>36.43200126</v>
      </c>
    </row>
    <row r="13">
      <c r="A13" s="34" t="s">
        <v>46</v>
      </c>
      <c r="B13" s="35"/>
      <c r="C13" s="5">
        <f>(1/(1+P3)^9) * 6 * L3</f>
        <v>20.3109421</v>
      </c>
      <c r="D13" s="5"/>
      <c r="E13" s="36" t="s">
        <v>47</v>
      </c>
      <c r="F13" s="37">
        <f>B9+C13</f>
        <v>41.84405334</v>
      </c>
    </row>
    <row r="14">
      <c r="A14" s="38"/>
      <c r="B14" s="9"/>
      <c r="C14" s="9"/>
      <c r="D14" s="9"/>
      <c r="E14" s="10"/>
      <c r="F14" s="11"/>
    </row>
    <row r="15">
      <c r="A15" s="39"/>
      <c r="B15" s="5"/>
      <c r="C15" s="5"/>
      <c r="D15" s="5"/>
      <c r="E15" s="5"/>
      <c r="F15" s="20"/>
    </row>
    <row r="16">
      <c r="A16" s="40"/>
      <c r="F16" s="41"/>
    </row>
    <row r="17">
      <c r="A17" s="29" t="s">
        <v>48</v>
      </c>
      <c r="B17" s="30"/>
      <c r="C17" s="42"/>
      <c r="F17" s="41"/>
    </row>
    <row r="18">
      <c r="A18" s="15" t="s">
        <v>49</v>
      </c>
      <c r="B18" s="15" t="s">
        <v>50</v>
      </c>
      <c r="C18" s="15" t="s">
        <v>51</v>
      </c>
      <c r="D18" s="15" t="s">
        <v>52</v>
      </c>
      <c r="F18" s="41"/>
    </row>
    <row r="19">
      <c r="A19" s="15" t="s">
        <v>53</v>
      </c>
      <c r="B19" s="15" t="s">
        <v>54</v>
      </c>
      <c r="C19" s="15" t="s">
        <v>55</v>
      </c>
      <c r="D19" s="43"/>
      <c r="F19" s="41"/>
    </row>
    <row r="20">
      <c r="A20" s="15" t="s">
        <v>56</v>
      </c>
      <c r="B20" s="15" t="s">
        <v>57</v>
      </c>
      <c r="C20" s="15">
        <v>17.2</v>
      </c>
      <c r="D20" s="15">
        <v>14.9</v>
      </c>
      <c r="F20" s="41"/>
    </row>
    <row r="21">
      <c r="A21" s="15" t="s">
        <v>58</v>
      </c>
      <c r="B21" s="15" t="s">
        <v>59</v>
      </c>
      <c r="C21" s="15">
        <v>26.0</v>
      </c>
      <c r="D21" s="43"/>
      <c r="E21" s="9"/>
      <c r="F21" s="21"/>
    </row>
    <row r="23">
      <c r="A23" s="44" t="s">
        <v>60</v>
      </c>
      <c r="B23" s="10"/>
      <c r="C23" s="9"/>
      <c r="D23" s="9"/>
      <c r="E23" s="9"/>
      <c r="F23" s="9"/>
    </row>
    <row r="25">
      <c r="A25" s="34" t="s">
        <v>61</v>
      </c>
      <c r="B25" s="35"/>
      <c r="C25" s="5">
        <f>1/(1+P3)^8 * K3/P3</f>
        <v>19.07057923</v>
      </c>
      <c r="D25" s="5"/>
      <c r="E25" s="36" t="s">
        <v>62</v>
      </c>
      <c r="F25" s="37">
        <f>SUM(C7:J7) +C25</f>
        <v>38.35553275</v>
      </c>
    </row>
    <row r="26">
      <c r="A26" s="38"/>
      <c r="B26" s="9"/>
      <c r="C26" s="9"/>
      <c r="D26" s="9"/>
      <c r="E26" s="10"/>
      <c r="F26" s="11"/>
    </row>
  </sheetData>
  <mergeCells count="12">
    <mergeCell ref="A17:C17"/>
    <mergeCell ref="A23:B23"/>
    <mergeCell ref="A25:B25"/>
    <mergeCell ref="E25:E26"/>
    <mergeCell ref="F25:F26"/>
    <mergeCell ref="N3:N4"/>
    <mergeCell ref="P3:P4"/>
    <mergeCell ref="N7:N8"/>
    <mergeCell ref="A11:B11"/>
    <mergeCell ref="A13:B13"/>
    <mergeCell ref="E13:E14"/>
    <mergeCell ref="F13:F1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5"/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5"/>
    </row>
    <row r="2">
      <c r="A2" s="45"/>
      <c r="B2" s="47" t="s">
        <v>63</v>
      </c>
      <c r="F2" s="46"/>
      <c r="G2" s="46"/>
      <c r="H2" s="46"/>
      <c r="I2" s="46"/>
      <c r="J2" s="46"/>
      <c r="K2" s="46"/>
      <c r="L2" s="46"/>
      <c r="M2" s="45"/>
    </row>
    <row r="3">
      <c r="A3" s="45"/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5"/>
    </row>
    <row r="4">
      <c r="A4" s="45"/>
      <c r="B4" s="48" t="s">
        <v>64</v>
      </c>
      <c r="M4" s="45"/>
    </row>
    <row r="5">
      <c r="A5" s="45"/>
      <c r="B5" s="49" t="s">
        <v>65</v>
      </c>
      <c r="C5" s="49" t="s">
        <v>66</v>
      </c>
      <c r="D5" s="49" t="s">
        <v>67</v>
      </c>
      <c r="M5" s="45"/>
    </row>
    <row r="6">
      <c r="A6" s="45"/>
      <c r="B6" s="50" t="s">
        <v>68</v>
      </c>
      <c r="C6" s="51">
        <v>10.0</v>
      </c>
      <c r="D6" s="47" t="s">
        <v>69</v>
      </c>
      <c r="G6" s="46"/>
      <c r="H6" s="46"/>
      <c r="I6" s="46"/>
      <c r="J6" s="46"/>
      <c r="K6" s="46"/>
      <c r="L6" s="46"/>
      <c r="M6" s="45"/>
    </row>
    <row r="7">
      <c r="A7" s="45"/>
      <c r="B7" s="50" t="s">
        <v>70</v>
      </c>
      <c r="C7" s="52">
        <v>0.01</v>
      </c>
      <c r="D7" s="47" t="s">
        <v>71</v>
      </c>
      <c r="H7" s="46"/>
      <c r="I7" s="46"/>
      <c r="J7" s="46"/>
      <c r="K7" s="46"/>
      <c r="L7" s="46"/>
      <c r="M7" s="45"/>
    </row>
    <row r="8">
      <c r="A8" s="45"/>
      <c r="B8" s="50" t="s">
        <v>72</v>
      </c>
      <c r="C8" s="52">
        <v>0.02</v>
      </c>
      <c r="D8" s="53"/>
      <c r="E8" s="46"/>
      <c r="F8" s="46"/>
      <c r="G8" s="46"/>
      <c r="H8" s="46"/>
      <c r="I8" s="46"/>
      <c r="J8" s="46"/>
      <c r="K8" s="46"/>
      <c r="L8" s="46"/>
      <c r="M8" s="45"/>
    </row>
    <row r="9">
      <c r="A9" s="45"/>
      <c r="B9" s="50" t="s">
        <v>73</v>
      </c>
      <c r="C9" s="52">
        <v>0.25</v>
      </c>
      <c r="D9" s="53"/>
      <c r="E9" s="46"/>
      <c r="F9" s="46"/>
      <c r="G9" s="46"/>
      <c r="H9" s="46"/>
      <c r="I9" s="46"/>
      <c r="J9" s="46"/>
      <c r="K9" s="46"/>
      <c r="L9" s="46"/>
      <c r="M9" s="45"/>
    </row>
    <row r="10">
      <c r="A10" s="45"/>
      <c r="B10" s="50" t="s">
        <v>74</v>
      </c>
      <c r="C10" s="54">
        <v>0.2</v>
      </c>
      <c r="D10" s="53"/>
      <c r="E10" s="46"/>
      <c r="F10" s="46"/>
      <c r="G10" s="46"/>
      <c r="H10" s="46"/>
      <c r="I10" s="46"/>
      <c r="J10" s="46"/>
      <c r="K10" s="46"/>
      <c r="L10" s="46"/>
      <c r="M10" s="45"/>
    </row>
    <row r="11">
      <c r="A11" s="45"/>
      <c r="B11" s="50" t="s">
        <v>75</v>
      </c>
      <c r="C11" s="52">
        <v>0.04</v>
      </c>
      <c r="D11" s="47" t="s">
        <v>76</v>
      </c>
      <c r="G11" s="46"/>
      <c r="H11" s="46"/>
      <c r="I11" s="46"/>
      <c r="J11" s="46"/>
      <c r="K11" s="46"/>
      <c r="L11" s="46"/>
      <c r="M11" s="45"/>
    </row>
    <row r="12">
      <c r="A12" s="45"/>
      <c r="B12" s="50" t="s">
        <v>77</v>
      </c>
      <c r="C12" s="52">
        <v>0.35</v>
      </c>
      <c r="D12" s="46"/>
      <c r="E12" s="46"/>
      <c r="F12" s="46"/>
      <c r="G12" s="46"/>
      <c r="H12" s="46"/>
      <c r="I12" s="46"/>
      <c r="J12" s="46"/>
      <c r="K12" s="46"/>
      <c r="L12" s="46"/>
      <c r="M12" s="45"/>
    </row>
    <row r="13">
      <c r="A13" s="45"/>
      <c r="B13" s="46"/>
      <c r="C13" s="55"/>
      <c r="D13" s="46"/>
      <c r="E13" s="46"/>
      <c r="F13" s="46"/>
      <c r="G13" s="46"/>
      <c r="H13" s="46"/>
      <c r="I13" s="46"/>
      <c r="J13" s="46"/>
      <c r="K13" s="46"/>
      <c r="L13" s="46"/>
      <c r="M13" s="45"/>
    </row>
    <row r="14">
      <c r="A14" s="45"/>
      <c r="B14" s="56" t="s">
        <v>78</v>
      </c>
      <c r="C14" s="57"/>
      <c r="D14" s="46"/>
      <c r="E14" s="46"/>
      <c r="F14" s="46"/>
      <c r="G14" s="46"/>
      <c r="H14" s="46"/>
      <c r="I14" s="46"/>
      <c r="J14" s="46"/>
      <c r="K14" s="46"/>
      <c r="L14" s="46"/>
      <c r="M14" s="45"/>
    </row>
    <row r="15">
      <c r="A15" s="45"/>
      <c r="B15" s="50" t="s">
        <v>79</v>
      </c>
      <c r="C15" s="58">
        <v>2026.0</v>
      </c>
      <c r="D15" s="58">
        <v>2027.0</v>
      </c>
      <c r="E15" s="58">
        <v>2028.0</v>
      </c>
      <c r="F15" s="58">
        <v>2029.0</v>
      </c>
      <c r="G15" s="58">
        <v>2030.0</v>
      </c>
      <c r="H15" s="58">
        <v>2031.0</v>
      </c>
      <c r="I15" s="58">
        <v>2032.0</v>
      </c>
      <c r="J15" s="58">
        <v>2033.0</v>
      </c>
      <c r="K15" s="58">
        <v>2034.0</v>
      </c>
      <c r="L15" s="58">
        <v>2035.0</v>
      </c>
      <c r="M15" s="45"/>
    </row>
    <row r="16">
      <c r="A16" s="45"/>
      <c r="B16" s="50" t="s">
        <v>80</v>
      </c>
      <c r="C16" s="52">
        <v>0.15</v>
      </c>
      <c r="D16" s="52">
        <v>0.3</v>
      </c>
      <c r="E16" s="52">
        <v>0.25</v>
      </c>
      <c r="F16" s="52">
        <v>0.2</v>
      </c>
      <c r="G16" s="52">
        <v>0.15</v>
      </c>
      <c r="H16" s="52">
        <v>0.1</v>
      </c>
      <c r="I16" s="52">
        <v>0.09</v>
      </c>
      <c r="J16" s="52">
        <v>0.08</v>
      </c>
      <c r="K16" s="52">
        <v>0.07</v>
      </c>
      <c r="L16" s="52">
        <v>0.06</v>
      </c>
      <c r="M16" s="45"/>
    </row>
    <row r="17">
      <c r="A17" s="45"/>
      <c r="B17" s="50" t="s">
        <v>81</v>
      </c>
      <c r="C17" s="52">
        <v>0.37</v>
      </c>
      <c r="D17" s="52">
        <v>0.4</v>
      </c>
      <c r="E17" s="52">
        <v>0.43</v>
      </c>
      <c r="F17" s="52">
        <v>0.46</v>
      </c>
      <c r="G17" s="52">
        <v>0.5</v>
      </c>
      <c r="H17" s="52">
        <v>0.5</v>
      </c>
      <c r="I17" s="52">
        <v>0.5</v>
      </c>
      <c r="J17" s="52">
        <v>0.5</v>
      </c>
      <c r="K17" s="52">
        <v>0.5</v>
      </c>
      <c r="L17" s="52">
        <v>0.5</v>
      </c>
      <c r="M17" s="45"/>
    </row>
    <row r="18">
      <c r="A18" s="45"/>
      <c r="B18" s="50" t="s">
        <v>82</v>
      </c>
      <c r="C18" s="52">
        <v>0.02</v>
      </c>
      <c r="D18" s="52">
        <v>0.02</v>
      </c>
      <c r="E18" s="52">
        <v>0.02</v>
      </c>
      <c r="F18" s="52">
        <v>0.02</v>
      </c>
      <c r="G18" s="52">
        <v>0.02</v>
      </c>
      <c r="H18" s="52">
        <v>0.018</v>
      </c>
      <c r="I18" s="52">
        <v>0.016</v>
      </c>
      <c r="J18" s="52">
        <v>0.014</v>
      </c>
      <c r="K18" s="52">
        <v>0.012</v>
      </c>
      <c r="L18" s="52">
        <v>0.01</v>
      </c>
      <c r="M18" s="45"/>
    </row>
    <row r="19">
      <c r="A19" s="45"/>
      <c r="B19" s="50" t="s">
        <v>32</v>
      </c>
      <c r="C19" s="51">
        <v>3.1</v>
      </c>
      <c r="D19" s="51">
        <v>4.4</v>
      </c>
      <c r="E19" s="51">
        <v>5.9</v>
      </c>
      <c r="F19" s="51">
        <v>7.6</v>
      </c>
      <c r="G19" s="51">
        <v>9.5</v>
      </c>
      <c r="H19" s="51">
        <v>10.4</v>
      </c>
      <c r="I19" s="51">
        <v>11.4</v>
      </c>
      <c r="J19" s="51">
        <v>12.3</v>
      </c>
      <c r="K19" s="51">
        <v>13.1</v>
      </c>
      <c r="L19" s="51">
        <v>13.9</v>
      </c>
      <c r="M19" s="45"/>
    </row>
    <row r="20">
      <c r="A20" s="45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5"/>
    </row>
    <row r="21">
      <c r="A21" s="45"/>
      <c r="B21" s="48" t="s">
        <v>83</v>
      </c>
      <c r="M21" s="45"/>
    </row>
    <row r="22">
      <c r="A22" s="45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5"/>
    </row>
    <row r="23">
      <c r="A23" s="45"/>
      <c r="B23" s="59" t="s">
        <v>84</v>
      </c>
      <c r="C23" s="58">
        <v>2026.0</v>
      </c>
      <c r="D23" s="58">
        <v>2027.0</v>
      </c>
      <c r="E23" s="58">
        <v>2028.0</v>
      </c>
      <c r="F23" s="58">
        <v>2029.0</v>
      </c>
      <c r="G23" s="58">
        <v>2030.0</v>
      </c>
      <c r="H23" s="58">
        <v>2031.0</v>
      </c>
      <c r="I23" s="58">
        <v>2032.0</v>
      </c>
      <c r="J23" s="58">
        <v>2033.0</v>
      </c>
      <c r="K23" s="58">
        <v>2034.0</v>
      </c>
      <c r="L23" s="58">
        <v>2035.0</v>
      </c>
      <c r="M23" s="45"/>
    </row>
    <row r="24">
      <c r="A24" s="45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5"/>
    </row>
    <row r="25">
      <c r="A25" s="45"/>
      <c r="B25" s="50" t="s">
        <v>85</v>
      </c>
      <c r="C25" s="60">
        <v>11.5</v>
      </c>
      <c r="D25" s="60">
        <v>15.0</v>
      </c>
      <c r="E25" s="60">
        <v>18.7</v>
      </c>
      <c r="F25" s="60">
        <v>22.4</v>
      </c>
      <c r="G25" s="60">
        <v>25.8</v>
      </c>
      <c r="H25" s="60">
        <v>28.4</v>
      </c>
      <c r="I25" s="60">
        <v>30.9</v>
      </c>
      <c r="J25" s="60">
        <v>33.4</v>
      </c>
      <c r="K25" s="60">
        <v>35.7</v>
      </c>
      <c r="L25" s="60">
        <v>37.9</v>
      </c>
      <c r="M25" s="45"/>
    </row>
    <row r="26">
      <c r="A26" s="45"/>
      <c r="B26" s="50" t="s">
        <v>29</v>
      </c>
      <c r="C26" s="60">
        <v>4.255</v>
      </c>
      <c r="D26" s="60">
        <v>6.0</v>
      </c>
      <c r="E26" s="60">
        <v>8.041</v>
      </c>
      <c r="F26" s="60">
        <v>10.304</v>
      </c>
      <c r="G26" s="60">
        <v>12.9</v>
      </c>
      <c r="H26" s="60">
        <v>14.2</v>
      </c>
      <c r="I26" s="60">
        <v>15.45</v>
      </c>
      <c r="J26" s="60">
        <v>16.7</v>
      </c>
      <c r="K26" s="60">
        <v>17.85</v>
      </c>
      <c r="L26" s="60">
        <v>18.95</v>
      </c>
      <c r="M26" s="45"/>
    </row>
    <row r="27">
      <c r="A27" s="45"/>
      <c r="B27" s="50" t="s">
        <v>86</v>
      </c>
      <c r="C27" s="60">
        <v>-0.12</v>
      </c>
      <c r="D27" s="60">
        <v>-0.15</v>
      </c>
      <c r="E27" s="60">
        <v>-0.19</v>
      </c>
      <c r="F27" s="60">
        <v>-0.22</v>
      </c>
      <c r="G27" s="60">
        <v>-0.26</v>
      </c>
      <c r="H27" s="60">
        <v>-0.28</v>
      </c>
      <c r="I27" s="60">
        <v>-0.31</v>
      </c>
      <c r="J27" s="60">
        <v>-0.33</v>
      </c>
      <c r="K27" s="60">
        <v>-0.36</v>
      </c>
      <c r="L27" s="60">
        <v>-0.38</v>
      </c>
      <c r="M27" s="45"/>
    </row>
    <row r="28">
      <c r="A28" s="45"/>
      <c r="B28" s="50" t="s">
        <v>39</v>
      </c>
      <c r="C28" s="60">
        <v>4.14</v>
      </c>
      <c r="D28" s="60">
        <v>5.85</v>
      </c>
      <c r="E28" s="60">
        <v>7.854</v>
      </c>
      <c r="F28" s="60">
        <v>10.08</v>
      </c>
      <c r="G28" s="60">
        <v>12.642</v>
      </c>
      <c r="H28" s="60">
        <v>13.916</v>
      </c>
      <c r="I28" s="60">
        <v>15.141</v>
      </c>
      <c r="J28" s="60">
        <v>16.366</v>
      </c>
      <c r="K28" s="60">
        <v>17.493</v>
      </c>
      <c r="L28" s="60">
        <v>18.571</v>
      </c>
      <c r="M28" s="45"/>
    </row>
    <row r="29">
      <c r="A29" s="45"/>
      <c r="B29" s="50" t="s">
        <v>87</v>
      </c>
      <c r="C29" s="60">
        <v>1.035</v>
      </c>
      <c r="D29" s="60">
        <v>1.4625</v>
      </c>
      <c r="E29" s="60">
        <v>1.9635</v>
      </c>
      <c r="F29" s="60">
        <v>2.52</v>
      </c>
      <c r="G29" s="60">
        <v>3.1605</v>
      </c>
      <c r="H29" s="60">
        <v>3.479</v>
      </c>
      <c r="I29" s="60">
        <v>3.78525</v>
      </c>
      <c r="J29" s="60">
        <v>4.0915</v>
      </c>
      <c r="K29" s="60">
        <v>4.37325</v>
      </c>
      <c r="L29" s="60">
        <v>4.64275</v>
      </c>
      <c r="M29" s="45"/>
    </row>
    <row r="30">
      <c r="A30" s="45"/>
      <c r="B30" s="61" t="s">
        <v>88</v>
      </c>
      <c r="C30" s="62">
        <v>3.1</v>
      </c>
      <c r="D30" s="62">
        <v>4.4</v>
      </c>
      <c r="E30" s="62">
        <v>5.9</v>
      </c>
      <c r="F30" s="62">
        <v>7.6</v>
      </c>
      <c r="G30" s="62">
        <v>9.5</v>
      </c>
      <c r="H30" s="62">
        <v>10.4</v>
      </c>
      <c r="I30" s="62">
        <v>11.4</v>
      </c>
      <c r="J30" s="62">
        <v>12.3</v>
      </c>
      <c r="K30" s="62">
        <v>13.1</v>
      </c>
      <c r="L30" s="62">
        <v>13.9</v>
      </c>
      <c r="M30" s="63" t="s">
        <v>89</v>
      </c>
    </row>
    <row r="31">
      <c r="A31" s="45"/>
      <c r="B31" s="64" t="s">
        <v>90</v>
      </c>
      <c r="C31" s="65">
        <v>3.1</v>
      </c>
      <c r="D31" s="65">
        <v>4.4</v>
      </c>
      <c r="E31" s="65">
        <v>5.9</v>
      </c>
      <c r="F31" s="65">
        <v>7.6</v>
      </c>
      <c r="G31" s="65">
        <v>9.5</v>
      </c>
      <c r="H31" s="65">
        <v>10.4</v>
      </c>
      <c r="I31" s="65">
        <v>11.4</v>
      </c>
      <c r="J31" s="65">
        <v>12.3</v>
      </c>
      <c r="K31" s="65">
        <v>13.1</v>
      </c>
      <c r="L31" s="65">
        <v>13.9</v>
      </c>
      <c r="M31" s="63" t="s">
        <v>91</v>
      </c>
    </row>
    <row r="32">
      <c r="A32" s="45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5"/>
    </row>
    <row r="33">
      <c r="A33" s="45"/>
      <c r="B33" s="48" t="s">
        <v>92</v>
      </c>
      <c r="M33" s="45"/>
    </row>
    <row r="34">
      <c r="A34" s="45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5"/>
    </row>
    <row r="35">
      <c r="A35" s="45"/>
      <c r="B35" s="59" t="s">
        <v>84</v>
      </c>
      <c r="C35" s="58">
        <v>2026.0</v>
      </c>
      <c r="D35" s="58">
        <v>2027.0</v>
      </c>
      <c r="E35" s="58">
        <v>2028.0</v>
      </c>
      <c r="F35" s="58">
        <v>2029.0</v>
      </c>
      <c r="G35" s="58">
        <v>2030.0</v>
      </c>
      <c r="H35" s="58">
        <v>2031.0</v>
      </c>
      <c r="I35" s="58">
        <v>2032.0</v>
      </c>
      <c r="J35" s="58">
        <v>2033.0</v>
      </c>
      <c r="K35" s="58">
        <v>2034.0</v>
      </c>
      <c r="L35" s="58">
        <v>2035.0</v>
      </c>
      <c r="M35" s="45"/>
    </row>
    <row r="36">
      <c r="A36" s="45"/>
      <c r="B36" s="61" t="s">
        <v>88</v>
      </c>
      <c r="C36" s="60">
        <v>3.1</v>
      </c>
      <c r="D36" s="60">
        <v>4.4</v>
      </c>
      <c r="E36" s="60">
        <v>5.9</v>
      </c>
      <c r="F36" s="60">
        <v>7.6</v>
      </c>
      <c r="G36" s="60">
        <v>9.5</v>
      </c>
      <c r="H36" s="60">
        <v>10.4</v>
      </c>
      <c r="I36" s="60">
        <v>11.4</v>
      </c>
      <c r="J36" s="60">
        <v>12.3</v>
      </c>
      <c r="K36" s="60">
        <v>13.1</v>
      </c>
      <c r="L36" s="60">
        <v>13.9</v>
      </c>
      <c r="M36" s="45"/>
    </row>
    <row r="37">
      <c r="A37" s="45"/>
      <c r="B37" s="50" t="s">
        <v>90</v>
      </c>
      <c r="C37" s="60">
        <v>3.1</v>
      </c>
      <c r="D37" s="60">
        <v>4.4</v>
      </c>
      <c r="E37" s="60">
        <v>5.9</v>
      </c>
      <c r="F37" s="60">
        <v>7.6</v>
      </c>
      <c r="G37" s="60">
        <v>9.5</v>
      </c>
      <c r="H37" s="60">
        <v>10.4</v>
      </c>
      <c r="I37" s="60">
        <v>11.4</v>
      </c>
      <c r="J37" s="60">
        <v>12.3</v>
      </c>
      <c r="K37" s="60">
        <v>13.1</v>
      </c>
      <c r="L37" s="60">
        <v>13.9</v>
      </c>
      <c r="M37" s="45"/>
    </row>
    <row r="38">
      <c r="A38" s="45"/>
      <c r="B38" s="50" t="s">
        <v>93</v>
      </c>
      <c r="C38" s="60">
        <v>0.12</v>
      </c>
      <c r="D38" s="60">
        <v>0.15</v>
      </c>
      <c r="E38" s="60">
        <v>0.19</v>
      </c>
      <c r="F38" s="60">
        <v>0.22</v>
      </c>
      <c r="G38" s="60">
        <v>0.26</v>
      </c>
      <c r="H38" s="60">
        <v>0.28</v>
      </c>
      <c r="I38" s="60">
        <v>0.31</v>
      </c>
      <c r="J38" s="60">
        <v>0.33</v>
      </c>
      <c r="K38" s="60">
        <v>0.36</v>
      </c>
      <c r="L38" s="60">
        <v>0.38</v>
      </c>
      <c r="M38" s="45"/>
    </row>
    <row r="39">
      <c r="A39" s="45"/>
      <c r="B39" s="50" t="s">
        <v>94</v>
      </c>
      <c r="C39" s="60">
        <v>-0.23</v>
      </c>
      <c r="D39" s="60">
        <v>-0.3</v>
      </c>
      <c r="E39" s="60">
        <v>-0.37</v>
      </c>
      <c r="F39" s="60">
        <v>-0.45</v>
      </c>
      <c r="G39" s="60">
        <v>-0.52</v>
      </c>
      <c r="H39" s="60">
        <v>-0.51</v>
      </c>
      <c r="I39" s="60">
        <v>-0.49</v>
      </c>
      <c r="J39" s="60">
        <v>-0.47</v>
      </c>
      <c r="K39" s="60">
        <v>-0.43</v>
      </c>
      <c r="L39" s="60">
        <v>-0.38</v>
      </c>
      <c r="M39" s="45"/>
    </row>
    <row r="40">
      <c r="A40" s="45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5"/>
    </row>
    <row r="41">
      <c r="A41" s="45"/>
      <c r="B41" s="66" t="s">
        <v>95</v>
      </c>
      <c r="C41" s="60">
        <v>0.23</v>
      </c>
      <c r="D41" s="60">
        <v>0.3</v>
      </c>
      <c r="E41" s="60">
        <v>0.37</v>
      </c>
      <c r="F41" s="60">
        <v>0.45</v>
      </c>
      <c r="G41" s="60">
        <v>0.52</v>
      </c>
      <c r="H41" s="60">
        <v>0.57</v>
      </c>
      <c r="I41" s="60">
        <v>0.62</v>
      </c>
      <c r="J41" s="60">
        <v>0.67</v>
      </c>
      <c r="K41" s="60">
        <v>0.71</v>
      </c>
      <c r="L41" s="60">
        <v>0.76</v>
      </c>
      <c r="M41" s="45"/>
    </row>
    <row r="42">
      <c r="A42" s="45"/>
      <c r="B42" s="61" t="s">
        <v>96</v>
      </c>
      <c r="C42" s="62">
        <v>2.76</v>
      </c>
      <c r="D42" s="62">
        <v>3.95</v>
      </c>
      <c r="E42" s="62">
        <v>5.34</v>
      </c>
      <c r="F42" s="62">
        <v>6.93</v>
      </c>
      <c r="G42" s="62">
        <v>8.73</v>
      </c>
      <c r="H42" s="62">
        <v>9.6</v>
      </c>
      <c r="I42" s="62">
        <v>10.6</v>
      </c>
      <c r="J42" s="62">
        <v>11.5</v>
      </c>
      <c r="K42" s="62">
        <v>12.31</v>
      </c>
      <c r="L42" s="62">
        <v>13.14</v>
      </c>
      <c r="M42" s="45"/>
    </row>
    <row r="43">
      <c r="A43" s="45"/>
      <c r="B43" s="64" t="s">
        <v>97</v>
      </c>
      <c r="C43" s="65">
        <v>2.76</v>
      </c>
      <c r="D43" s="65">
        <v>3.94</v>
      </c>
      <c r="E43" s="65">
        <v>5.33</v>
      </c>
      <c r="F43" s="65">
        <v>6.89</v>
      </c>
      <c r="G43" s="65">
        <v>8.71</v>
      </c>
      <c r="H43" s="65">
        <v>9.64</v>
      </c>
      <c r="I43" s="65">
        <v>10.55</v>
      </c>
      <c r="J43" s="65">
        <v>11.47</v>
      </c>
      <c r="K43" s="65">
        <v>12.33</v>
      </c>
      <c r="L43" s="65">
        <v>13.17</v>
      </c>
      <c r="M43" s="45"/>
    </row>
    <row r="44">
      <c r="A44" s="45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5"/>
    </row>
    <row r="45">
      <c r="A45" s="45"/>
      <c r="B45" s="48" t="s">
        <v>98</v>
      </c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45"/>
    </row>
    <row r="46">
      <c r="A46" s="45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5"/>
    </row>
    <row r="47">
      <c r="A47" s="45"/>
      <c r="B47" s="68" t="s">
        <v>99</v>
      </c>
      <c r="C47" s="69">
        <v>0.5</v>
      </c>
      <c r="D47" s="69">
        <v>1.5</v>
      </c>
      <c r="E47" s="69">
        <v>2.5</v>
      </c>
      <c r="F47" s="69">
        <v>3.5</v>
      </c>
      <c r="G47" s="69">
        <v>4.5</v>
      </c>
      <c r="H47" s="69">
        <v>5.5</v>
      </c>
      <c r="I47" s="69">
        <v>6.5</v>
      </c>
      <c r="J47" s="69">
        <v>7.5</v>
      </c>
      <c r="K47" s="69">
        <v>8.5</v>
      </c>
      <c r="L47" s="69">
        <v>9.5</v>
      </c>
      <c r="M47" s="45"/>
    </row>
    <row r="48">
      <c r="A48" s="45"/>
      <c r="B48" s="68" t="s">
        <v>100</v>
      </c>
      <c r="C48" s="70">
        <v>0.91</v>
      </c>
      <c r="D48" s="70">
        <v>0.76</v>
      </c>
      <c r="E48" s="70">
        <v>0.63</v>
      </c>
      <c r="F48" s="70">
        <v>0.53</v>
      </c>
      <c r="G48" s="70">
        <v>0.44</v>
      </c>
      <c r="H48" s="70">
        <v>0.37</v>
      </c>
      <c r="I48" s="70">
        <v>0.31</v>
      </c>
      <c r="J48" s="70">
        <v>0.25</v>
      </c>
      <c r="K48" s="70">
        <v>0.21</v>
      </c>
      <c r="L48" s="70">
        <v>0.18</v>
      </c>
      <c r="M48" s="45"/>
    </row>
    <row r="49">
      <c r="A49" s="45"/>
      <c r="B49" s="46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45"/>
    </row>
    <row r="50">
      <c r="A50" s="45"/>
      <c r="B50" s="72" t="s">
        <v>101</v>
      </c>
      <c r="C50" s="73">
        <v>2.51</v>
      </c>
      <c r="D50" s="73">
        <v>3.0</v>
      </c>
      <c r="E50" s="73">
        <v>3.38</v>
      </c>
      <c r="F50" s="73">
        <v>3.66</v>
      </c>
      <c r="G50" s="73">
        <v>3.84</v>
      </c>
      <c r="H50" s="73">
        <v>3.52</v>
      </c>
      <c r="I50" s="73">
        <v>3.24</v>
      </c>
      <c r="J50" s="73">
        <v>2.93</v>
      </c>
      <c r="K50" s="73">
        <v>2.61</v>
      </c>
      <c r="L50" s="73">
        <v>2.33</v>
      </c>
      <c r="M50" s="45"/>
    </row>
    <row r="51">
      <c r="A51" s="45"/>
      <c r="B51" s="74" t="s">
        <v>102</v>
      </c>
      <c r="C51" s="75">
        <v>2.52</v>
      </c>
      <c r="D51" s="75">
        <v>3.0</v>
      </c>
      <c r="E51" s="75">
        <v>3.38</v>
      </c>
      <c r="F51" s="75">
        <v>3.64</v>
      </c>
      <c r="G51" s="75">
        <v>3.83</v>
      </c>
      <c r="H51" s="75">
        <v>3.54</v>
      </c>
      <c r="I51" s="75">
        <v>3.23</v>
      </c>
      <c r="J51" s="75">
        <v>2.92</v>
      </c>
      <c r="K51" s="75">
        <v>2.62</v>
      </c>
      <c r="L51" s="75">
        <v>2.33</v>
      </c>
      <c r="M51" s="45"/>
    </row>
    <row r="52">
      <c r="A52" s="45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5"/>
    </row>
    <row r="53">
      <c r="A53" s="45"/>
      <c r="B53" s="48" t="s">
        <v>103</v>
      </c>
      <c r="M53" s="45"/>
    </row>
    <row r="54">
      <c r="A54" s="45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5"/>
    </row>
    <row r="55">
      <c r="A55" s="45"/>
      <c r="B55" s="76" t="s">
        <v>104</v>
      </c>
      <c r="D55" s="46"/>
      <c r="E55" s="46"/>
      <c r="F55" s="46"/>
      <c r="G55" s="46"/>
      <c r="H55" s="46"/>
      <c r="I55" s="46"/>
      <c r="J55" s="46"/>
      <c r="K55" s="46"/>
      <c r="L55" s="46"/>
      <c r="M55" s="45"/>
    </row>
    <row r="56">
      <c r="A56" s="45"/>
      <c r="B56" s="50" t="s">
        <v>105</v>
      </c>
      <c r="C56" s="60">
        <v>13.67</v>
      </c>
      <c r="D56" s="46"/>
      <c r="E56" s="46"/>
      <c r="F56" s="46"/>
      <c r="G56" s="77"/>
      <c r="H56" s="77"/>
      <c r="I56" s="77"/>
      <c r="J56" s="77"/>
      <c r="K56" s="77"/>
      <c r="L56" s="77"/>
      <c r="M56" s="45"/>
    </row>
    <row r="57">
      <c r="A57" s="45"/>
      <c r="B57" s="50" t="s">
        <v>106</v>
      </c>
      <c r="C57" s="60">
        <v>85.423</v>
      </c>
      <c r="D57" s="46"/>
      <c r="E57" s="46"/>
      <c r="F57" s="46"/>
      <c r="G57" s="77"/>
      <c r="H57" s="77"/>
      <c r="I57" s="77"/>
      <c r="J57" s="77"/>
      <c r="K57" s="77"/>
      <c r="L57" s="77"/>
      <c r="M57" s="45"/>
    </row>
    <row r="58">
      <c r="A58" s="45"/>
      <c r="B58" s="50" t="s">
        <v>107</v>
      </c>
      <c r="C58" s="60">
        <v>13.8</v>
      </c>
      <c r="D58" s="46"/>
      <c r="E58" s="46"/>
      <c r="F58" s="46"/>
      <c r="G58" s="77"/>
      <c r="H58" s="77"/>
      <c r="I58" s="77"/>
      <c r="J58" s="77"/>
      <c r="K58" s="77"/>
      <c r="L58" s="77"/>
      <c r="M58" s="45"/>
    </row>
    <row r="59">
      <c r="A59" s="45"/>
      <c r="B59" s="46"/>
      <c r="C59" s="46"/>
      <c r="D59" s="46"/>
      <c r="E59" s="46"/>
      <c r="F59" s="46"/>
      <c r="G59" s="77"/>
      <c r="H59" s="77"/>
      <c r="I59" s="77"/>
      <c r="J59" s="77"/>
      <c r="K59" s="77"/>
      <c r="L59" s="77"/>
      <c r="M59" s="45"/>
    </row>
    <row r="60">
      <c r="A60" s="45"/>
      <c r="B60" s="50" t="s">
        <v>108</v>
      </c>
      <c r="C60" s="60">
        <v>31.04</v>
      </c>
      <c r="D60" s="46"/>
      <c r="E60" s="46"/>
      <c r="F60" s="46"/>
      <c r="G60" s="77"/>
      <c r="H60" s="77"/>
      <c r="I60" s="77"/>
      <c r="J60" s="77"/>
      <c r="K60" s="77"/>
      <c r="L60" s="77"/>
      <c r="M60" s="45"/>
    </row>
    <row r="61">
      <c r="A61" s="45"/>
      <c r="B61" s="50" t="s">
        <v>109</v>
      </c>
      <c r="C61" s="60">
        <v>13.8</v>
      </c>
      <c r="D61" s="46"/>
      <c r="E61" s="46"/>
      <c r="F61" s="46"/>
      <c r="G61" s="77"/>
      <c r="H61" s="77"/>
      <c r="I61" s="77"/>
      <c r="J61" s="77"/>
      <c r="K61" s="77"/>
      <c r="L61" s="77"/>
      <c r="M61" s="45"/>
    </row>
    <row r="62">
      <c r="A62" s="45"/>
      <c r="B62" s="78" t="s">
        <v>110</v>
      </c>
      <c r="C62" s="79">
        <v>44.83</v>
      </c>
      <c r="D62" s="46"/>
      <c r="E62" s="46"/>
      <c r="F62" s="46"/>
      <c r="G62" s="77"/>
      <c r="H62" s="77"/>
      <c r="I62" s="77"/>
      <c r="J62" s="77"/>
      <c r="K62" s="77"/>
      <c r="L62" s="77"/>
      <c r="M62" s="45"/>
    </row>
    <row r="63">
      <c r="A63" s="45"/>
      <c r="B63" s="46"/>
      <c r="C63" s="46"/>
      <c r="D63" s="46"/>
      <c r="E63" s="77"/>
      <c r="F63" s="77"/>
      <c r="G63" s="77"/>
      <c r="H63" s="77"/>
      <c r="I63" s="77"/>
      <c r="J63" s="77"/>
      <c r="K63" s="77"/>
      <c r="L63" s="77"/>
      <c r="M63" s="45"/>
    </row>
    <row r="64">
      <c r="A64" s="45"/>
      <c r="B64" s="50" t="s">
        <v>111</v>
      </c>
      <c r="C64" s="60">
        <v>4.39</v>
      </c>
      <c r="D64" s="47" t="s">
        <v>112</v>
      </c>
      <c r="G64" s="77"/>
      <c r="H64" s="77"/>
      <c r="I64" s="77"/>
      <c r="J64" s="77"/>
      <c r="K64" s="77"/>
      <c r="L64" s="77"/>
      <c r="M64" s="45"/>
    </row>
    <row r="65">
      <c r="A65" s="45"/>
      <c r="B65" s="50" t="s">
        <v>113</v>
      </c>
      <c r="C65" s="60">
        <v>0.43</v>
      </c>
      <c r="D65" s="47" t="s">
        <v>112</v>
      </c>
      <c r="G65" s="77"/>
      <c r="H65" s="77"/>
      <c r="I65" s="77"/>
      <c r="J65" s="77"/>
      <c r="K65" s="77"/>
      <c r="L65" s="77"/>
      <c r="M65" s="45"/>
    </row>
    <row r="66">
      <c r="A66" s="45"/>
      <c r="B66" s="50" t="s">
        <v>114</v>
      </c>
      <c r="C66" s="60">
        <v>3.96</v>
      </c>
      <c r="D66" s="46"/>
      <c r="E66" s="77"/>
      <c r="F66" s="77"/>
      <c r="G66" s="77"/>
      <c r="H66" s="77"/>
      <c r="I66" s="77"/>
      <c r="J66" s="77"/>
      <c r="K66" s="77"/>
      <c r="L66" s="77"/>
      <c r="M66" s="45"/>
    </row>
    <row r="67">
      <c r="A67" s="45"/>
      <c r="B67" s="78" t="s">
        <v>115</v>
      </c>
      <c r="C67" s="79">
        <v>48.79</v>
      </c>
      <c r="D67" s="46"/>
      <c r="E67" s="77"/>
      <c r="F67" s="77"/>
      <c r="G67" s="77"/>
      <c r="H67" s="77"/>
      <c r="I67" s="77"/>
      <c r="J67" s="77"/>
      <c r="K67" s="77"/>
      <c r="L67" s="77"/>
      <c r="M67" s="45"/>
    </row>
    <row r="68">
      <c r="A68" s="45"/>
      <c r="B68" s="80"/>
      <c r="C68" s="80"/>
      <c r="D68" s="80"/>
      <c r="E68" s="81"/>
      <c r="F68" s="81"/>
      <c r="G68" s="81"/>
      <c r="H68" s="81"/>
      <c r="I68" s="81"/>
      <c r="J68" s="81"/>
      <c r="K68" s="81"/>
      <c r="L68" s="81"/>
      <c r="M68" s="45"/>
    </row>
    <row r="69">
      <c r="A69" s="45"/>
      <c r="B69" s="46"/>
      <c r="C69" s="46"/>
      <c r="D69" s="46"/>
      <c r="E69" s="77"/>
      <c r="F69" s="77"/>
      <c r="G69" s="77"/>
      <c r="H69" s="77"/>
      <c r="I69" s="77"/>
      <c r="J69" s="77"/>
      <c r="K69" s="77"/>
      <c r="L69" s="77"/>
      <c r="M69" s="45"/>
    </row>
    <row r="70">
      <c r="A70" s="45"/>
      <c r="B70" s="76" t="s">
        <v>116</v>
      </c>
      <c r="D70" s="46"/>
      <c r="E70" s="77"/>
      <c r="F70" s="77"/>
      <c r="G70" s="77"/>
      <c r="H70" s="77"/>
      <c r="I70" s="77"/>
      <c r="J70" s="77"/>
      <c r="K70" s="77"/>
      <c r="L70" s="77"/>
      <c r="M70" s="45"/>
    </row>
    <row r="71">
      <c r="A71" s="45"/>
      <c r="B71" s="50" t="s">
        <v>117</v>
      </c>
      <c r="C71" s="60">
        <v>13.7</v>
      </c>
      <c r="D71" s="46"/>
      <c r="E71" s="77"/>
      <c r="F71" s="77"/>
      <c r="G71" s="77"/>
      <c r="H71" s="77"/>
      <c r="I71" s="77"/>
      <c r="J71" s="77"/>
      <c r="K71" s="77"/>
      <c r="L71" s="77"/>
      <c r="M71" s="45"/>
    </row>
    <row r="72">
      <c r="A72" s="45"/>
      <c r="B72" s="50" t="s">
        <v>106</v>
      </c>
      <c r="C72" s="60">
        <v>85.61</v>
      </c>
      <c r="D72" s="46"/>
      <c r="E72" s="46"/>
      <c r="F72" s="46"/>
      <c r="G72" s="46"/>
      <c r="H72" s="46"/>
      <c r="I72" s="46"/>
      <c r="J72" s="46"/>
      <c r="K72" s="46"/>
      <c r="L72" s="46"/>
      <c r="M72" s="45"/>
    </row>
    <row r="73">
      <c r="A73" s="45"/>
      <c r="B73" s="50" t="s">
        <v>107</v>
      </c>
      <c r="C73" s="60">
        <v>13.83</v>
      </c>
      <c r="D73" s="46"/>
      <c r="E73" s="46"/>
      <c r="F73" s="46"/>
      <c r="G73" s="46"/>
      <c r="H73" s="46"/>
      <c r="I73" s="46"/>
      <c r="J73" s="46"/>
      <c r="K73" s="46"/>
      <c r="L73" s="46"/>
      <c r="M73" s="45"/>
    </row>
    <row r="74">
      <c r="A74" s="45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5"/>
    </row>
    <row r="75">
      <c r="A75" s="45"/>
      <c r="B75" s="50" t="s">
        <v>108</v>
      </c>
      <c r="C75" s="60">
        <v>31.0</v>
      </c>
      <c r="D75" s="46"/>
      <c r="E75" s="46"/>
      <c r="F75" s="46"/>
      <c r="G75" s="46"/>
      <c r="H75" s="46"/>
      <c r="I75" s="46"/>
      <c r="J75" s="46"/>
      <c r="K75" s="46"/>
      <c r="L75" s="46"/>
      <c r="M75" s="45"/>
    </row>
    <row r="76">
      <c r="A76" s="45"/>
      <c r="B76" s="50" t="s">
        <v>109</v>
      </c>
      <c r="C76" s="60">
        <v>13.83</v>
      </c>
      <c r="D76" s="46"/>
      <c r="E76" s="46"/>
      <c r="F76" s="46"/>
      <c r="G76" s="46"/>
      <c r="H76" s="46"/>
      <c r="I76" s="46"/>
      <c r="J76" s="46"/>
      <c r="K76" s="46"/>
      <c r="L76" s="46"/>
      <c r="M76" s="45"/>
    </row>
    <row r="77">
      <c r="A77" s="45"/>
      <c r="B77" s="78" t="s">
        <v>110</v>
      </c>
      <c r="C77" s="79">
        <v>44.83</v>
      </c>
      <c r="D77" s="46"/>
      <c r="E77" s="46"/>
      <c r="F77" s="46"/>
      <c r="G77" s="46"/>
      <c r="H77" s="46"/>
      <c r="I77" s="46"/>
      <c r="J77" s="46"/>
      <c r="K77" s="46"/>
      <c r="L77" s="46"/>
      <c r="M77" s="45"/>
    </row>
    <row r="78">
      <c r="A78" s="45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5"/>
    </row>
    <row r="79">
      <c r="A79" s="45"/>
      <c r="B79" s="50" t="s">
        <v>111</v>
      </c>
      <c r="C79" s="60">
        <v>4.39</v>
      </c>
      <c r="D79" s="46"/>
      <c r="E79" s="46"/>
      <c r="F79" s="46"/>
      <c r="G79" s="46"/>
      <c r="H79" s="46"/>
      <c r="I79" s="46"/>
      <c r="J79" s="46"/>
      <c r="K79" s="46"/>
      <c r="L79" s="46"/>
      <c r="M79" s="45"/>
    </row>
    <row r="80">
      <c r="A80" s="45"/>
      <c r="B80" s="50" t="s">
        <v>113</v>
      </c>
      <c r="C80" s="60">
        <v>0.43</v>
      </c>
      <c r="D80" s="47" t="s">
        <v>112</v>
      </c>
      <c r="G80" s="46"/>
      <c r="H80" s="46"/>
      <c r="I80" s="46"/>
      <c r="J80" s="46"/>
      <c r="K80" s="46"/>
      <c r="L80" s="46"/>
      <c r="M80" s="45"/>
    </row>
    <row r="81">
      <c r="A81" s="45"/>
      <c r="B81" s="50" t="s">
        <v>114</v>
      </c>
      <c r="C81" s="60">
        <v>3.96</v>
      </c>
      <c r="D81" s="47" t="s">
        <v>112</v>
      </c>
      <c r="G81" s="46"/>
      <c r="H81" s="46"/>
      <c r="I81" s="46"/>
      <c r="J81" s="46"/>
      <c r="K81" s="46"/>
      <c r="L81" s="46"/>
      <c r="M81" s="45"/>
    </row>
    <row r="82">
      <c r="A82" s="45"/>
      <c r="B82" s="78" t="s">
        <v>115</v>
      </c>
      <c r="C82" s="79">
        <v>48.78</v>
      </c>
      <c r="D82" s="46"/>
      <c r="E82" s="46"/>
      <c r="F82" s="46"/>
      <c r="G82" s="46"/>
      <c r="H82" s="46"/>
      <c r="I82" s="46"/>
      <c r="J82" s="46"/>
      <c r="K82" s="46"/>
      <c r="L82" s="46"/>
      <c r="M82" s="45"/>
    </row>
  </sheetData>
  <mergeCells count="15">
    <mergeCell ref="B33:L33"/>
    <mergeCell ref="B53:L53"/>
    <mergeCell ref="B55:C55"/>
    <mergeCell ref="D64:F64"/>
    <mergeCell ref="D65:F65"/>
    <mergeCell ref="B70:C70"/>
    <mergeCell ref="D80:F80"/>
    <mergeCell ref="D81:F81"/>
    <mergeCell ref="B2:E2"/>
    <mergeCell ref="B4:L4"/>
    <mergeCell ref="D5:L5"/>
    <mergeCell ref="D6:F6"/>
    <mergeCell ref="D7:G7"/>
    <mergeCell ref="D11:F11"/>
    <mergeCell ref="B21:L2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25"/>
  </cols>
  <sheetData>
    <row r="1">
      <c r="A1" s="82" t="s">
        <v>118</v>
      </c>
      <c r="B1" s="82" t="s">
        <v>66</v>
      </c>
      <c r="C1" s="83"/>
      <c r="D1" s="83"/>
      <c r="E1" s="83"/>
      <c r="F1" s="83"/>
      <c r="G1" s="83"/>
      <c r="H1" s="83"/>
      <c r="I1" s="83"/>
      <c r="J1" s="83"/>
      <c r="K1" s="83"/>
      <c r="L1" s="83"/>
    </row>
    <row r="2">
      <c r="A2" s="82" t="s">
        <v>119</v>
      </c>
      <c r="B2" s="84">
        <v>0.2</v>
      </c>
      <c r="C2" s="83"/>
      <c r="D2" s="83"/>
      <c r="E2" s="83"/>
      <c r="F2" s="83"/>
      <c r="G2" s="83"/>
      <c r="H2" s="83"/>
      <c r="I2" s="83"/>
      <c r="J2" s="83"/>
      <c r="K2" s="83"/>
      <c r="L2" s="83"/>
    </row>
    <row r="3">
      <c r="A3" s="82" t="s">
        <v>120</v>
      </c>
      <c r="B3" s="84">
        <v>0.04</v>
      </c>
      <c r="C3" s="83"/>
      <c r="D3" s="83"/>
      <c r="E3" s="83"/>
      <c r="F3" s="83"/>
      <c r="G3" s="83"/>
      <c r="H3" s="83"/>
      <c r="I3" s="83"/>
      <c r="J3" s="83"/>
      <c r="K3" s="83"/>
      <c r="L3" s="83"/>
    </row>
    <row r="4">
      <c r="A4" s="82" t="s">
        <v>121</v>
      </c>
      <c r="B4" s="84">
        <v>0.25</v>
      </c>
      <c r="C4" s="83"/>
      <c r="D4" s="83"/>
      <c r="E4" s="83"/>
      <c r="F4" s="83"/>
      <c r="G4" s="83"/>
      <c r="H4" s="83"/>
      <c r="I4" s="83"/>
      <c r="J4" s="83"/>
      <c r="K4" s="83"/>
      <c r="L4" s="83"/>
    </row>
    <row r="5">
      <c r="A5" s="82" t="s">
        <v>122</v>
      </c>
      <c r="B5" s="85">
        <v>0.0</v>
      </c>
      <c r="C5" s="83"/>
      <c r="D5" s="83"/>
      <c r="E5" s="83"/>
      <c r="F5" s="83"/>
      <c r="G5" s="83"/>
      <c r="H5" s="83"/>
      <c r="I5" s="83"/>
      <c r="J5" s="83"/>
      <c r="K5" s="83"/>
      <c r="L5" s="83"/>
    </row>
    <row r="6">
      <c r="A6" s="82" t="s">
        <v>123</v>
      </c>
      <c r="B6" s="86">
        <v>46112.0</v>
      </c>
      <c r="C6" s="83"/>
      <c r="D6" s="83"/>
      <c r="E6" s="83"/>
      <c r="F6" s="83"/>
      <c r="G6" s="83"/>
      <c r="H6" s="83"/>
      <c r="I6" s="83"/>
      <c r="J6" s="83"/>
      <c r="K6" s="83"/>
      <c r="L6" s="83"/>
    </row>
    <row r="7">
      <c r="A7" s="87" t="s">
        <v>15</v>
      </c>
      <c r="B7" s="88" t="s">
        <v>16</v>
      </c>
      <c r="C7" s="88" t="s">
        <v>17</v>
      </c>
      <c r="D7" s="88" t="s">
        <v>18</v>
      </c>
      <c r="E7" s="88" t="s">
        <v>19</v>
      </c>
      <c r="F7" s="88" t="s">
        <v>20</v>
      </c>
      <c r="G7" s="88" t="s">
        <v>21</v>
      </c>
      <c r="H7" s="88" t="s">
        <v>22</v>
      </c>
      <c r="I7" s="88" t="s">
        <v>23</v>
      </c>
      <c r="J7" s="88" t="s">
        <v>24</v>
      </c>
      <c r="K7" s="88" t="s">
        <v>25</v>
      </c>
      <c r="L7" s="88" t="s">
        <v>26</v>
      </c>
    </row>
    <row r="8">
      <c r="A8" s="89" t="s">
        <v>85</v>
      </c>
      <c r="B8" s="90">
        <v>10.0</v>
      </c>
      <c r="C8" s="91">
        <v>11.5</v>
      </c>
      <c r="D8" s="90">
        <v>15.0</v>
      </c>
      <c r="E8" s="91">
        <v>18.7</v>
      </c>
      <c r="F8" s="91">
        <v>22.4</v>
      </c>
      <c r="G8" s="91">
        <v>25.8</v>
      </c>
      <c r="H8" s="91">
        <v>28.4</v>
      </c>
      <c r="I8" s="91">
        <v>30.9</v>
      </c>
      <c r="J8" s="90">
        <v>33.4</v>
      </c>
      <c r="K8" s="90">
        <v>35.7</v>
      </c>
      <c r="L8" s="90">
        <v>37.9</v>
      </c>
    </row>
    <row r="9">
      <c r="A9" s="90" t="s">
        <v>124</v>
      </c>
      <c r="B9" s="83"/>
      <c r="C9" s="90">
        <v>0.15</v>
      </c>
      <c r="D9" s="90">
        <v>0.3</v>
      </c>
      <c r="E9" s="90">
        <v>0.25</v>
      </c>
      <c r="F9" s="90">
        <v>0.2</v>
      </c>
      <c r="G9" s="90">
        <v>0.15</v>
      </c>
      <c r="H9" s="90">
        <v>0.1</v>
      </c>
      <c r="I9" s="90">
        <v>0.09</v>
      </c>
      <c r="J9" s="90">
        <v>0.08</v>
      </c>
      <c r="K9" s="90">
        <v>0.07</v>
      </c>
      <c r="L9" s="90">
        <v>0.06</v>
      </c>
    </row>
    <row r="10">
      <c r="A10" s="89" t="s">
        <v>29</v>
      </c>
      <c r="B10" s="91">
        <v>3.5</v>
      </c>
      <c r="C10" s="91">
        <v>4.3</v>
      </c>
      <c r="D10" s="90">
        <v>6.0</v>
      </c>
      <c r="E10" s="90">
        <v>8.0</v>
      </c>
      <c r="F10" s="91">
        <v>10.3</v>
      </c>
      <c r="G10" s="91">
        <v>12.9</v>
      </c>
      <c r="H10" s="91">
        <v>14.2</v>
      </c>
      <c r="I10" s="91">
        <v>15.5</v>
      </c>
      <c r="J10" s="91">
        <v>16.7</v>
      </c>
      <c r="K10" s="91">
        <v>17.9</v>
      </c>
      <c r="L10" s="91">
        <v>18.9</v>
      </c>
    </row>
    <row r="11">
      <c r="A11" s="90" t="s">
        <v>125</v>
      </c>
      <c r="B11" s="90">
        <v>0.35</v>
      </c>
      <c r="C11" s="90">
        <v>0.37</v>
      </c>
      <c r="D11" s="90">
        <v>0.4</v>
      </c>
      <c r="E11" s="90">
        <v>0.43</v>
      </c>
      <c r="F11" s="90">
        <v>0.46</v>
      </c>
      <c r="G11" s="90">
        <v>0.5</v>
      </c>
      <c r="H11" s="90">
        <v>0.5</v>
      </c>
      <c r="I11" s="90">
        <v>0.5</v>
      </c>
      <c r="J11" s="90">
        <v>0.5</v>
      </c>
      <c r="K11" s="90">
        <v>0.5</v>
      </c>
      <c r="L11" s="90">
        <v>0.5</v>
      </c>
    </row>
    <row r="12">
      <c r="A12" s="89" t="s">
        <v>31</v>
      </c>
      <c r="B12" s="90">
        <v>0.1</v>
      </c>
      <c r="C12" s="90">
        <v>0.1</v>
      </c>
      <c r="D12" s="90">
        <v>0.1</v>
      </c>
      <c r="E12" s="90">
        <v>0.2</v>
      </c>
      <c r="F12" s="90">
        <v>0.2</v>
      </c>
      <c r="G12" s="90">
        <v>0.3</v>
      </c>
      <c r="H12" s="90">
        <v>0.3</v>
      </c>
      <c r="I12" s="90">
        <v>0.3</v>
      </c>
      <c r="J12" s="90">
        <v>0.3</v>
      </c>
      <c r="K12" s="90">
        <v>0.4</v>
      </c>
      <c r="L12" s="90">
        <v>0.4</v>
      </c>
    </row>
    <row r="13">
      <c r="A13" s="90" t="s">
        <v>125</v>
      </c>
      <c r="B13" s="90">
        <v>0.01</v>
      </c>
      <c r="C13" s="90">
        <v>0.01</v>
      </c>
      <c r="D13" s="90">
        <v>0.01</v>
      </c>
      <c r="E13" s="90">
        <v>0.01</v>
      </c>
      <c r="F13" s="90">
        <v>0.01</v>
      </c>
      <c r="G13" s="90">
        <v>0.01</v>
      </c>
      <c r="H13" s="90">
        <v>0.01</v>
      </c>
      <c r="I13" s="90">
        <v>0.01</v>
      </c>
      <c r="J13" s="90">
        <v>0.01</v>
      </c>
      <c r="K13" s="90">
        <v>0.01</v>
      </c>
      <c r="L13" s="90">
        <v>0.01</v>
      </c>
    </row>
    <row r="14">
      <c r="A14" s="92" t="s">
        <v>32</v>
      </c>
      <c r="B14" s="93">
        <v>2.6</v>
      </c>
      <c r="C14" s="93">
        <v>3.1</v>
      </c>
      <c r="D14" s="93">
        <v>4.4</v>
      </c>
      <c r="E14" s="93">
        <v>5.9</v>
      </c>
      <c r="F14" s="93">
        <v>7.6</v>
      </c>
      <c r="G14" s="93">
        <v>9.5</v>
      </c>
      <c r="H14" s="93">
        <v>10.4</v>
      </c>
      <c r="I14" s="93">
        <v>11.4</v>
      </c>
      <c r="J14" s="93">
        <v>12.3</v>
      </c>
      <c r="K14" s="93">
        <v>13.1</v>
      </c>
      <c r="L14" s="93">
        <v>13.9</v>
      </c>
    </row>
    <row r="15">
      <c r="A15" s="90" t="s">
        <v>126</v>
      </c>
      <c r="B15" s="90">
        <v>0.25</v>
      </c>
      <c r="C15" s="90">
        <v>0.25</v>
      </c>
      <c r="D15" s="90">
        <v>0.25</v>
      </c>
      <c r="E15" s="90">
        <v>0.25</v>
      </c>
      <c r="F15" s="90">
        <v>0.25</v>
      </c>
      <c r="G15" s="90">
        <v>0.25</v>
      </c>
      <c r="H15" s="90">
        <v>0.25</v>
      </c>
      <c r="I15" s="90">
        <v>0.25</v>
      </c>
      <c r="J15" s="90">
        <v>0.25</v>
      </c>
      <c r="K15" s="90">
        <v>0.25</v>
      </c>
      <c r="L15" s="90">
        <v>0.25</v>
      </c>
    </row>
    <row r="16">
      <c r="A16" s="89" t="s">
        <v>127</v>
      </c>
      <c r="B16" s="90">
        <v>0.2</v>
      </c>
      <c r="C16" s="90">
        <v>0.2</v>
      </c>
      <c r="D16" s="90">
        <v>0.3</v>
      </c>
      <c r="E16" s="90">
        <v>0.4</v>
      </c>
      <c r="F16" s="90">
        <v>0.4</v>
      </c>
      <c r="G16" s="90">
        <v>0.5</v>
      </c>
      <c r="H16" s="90">
        <v>0.5</v>
      </c>
      <c r="I16" s="90">
        <v>0.5</v>
      </c>
      <c r="J16" s="90">
        <v>0.5</v>
      </c>
      <c r="K16" s="90">
        <v>0.4</v>
      </c>
      <c r="L16" s="90">
        <v>0.4</v>
      </c>
    </row>
    <row r="17">
      <c r="A17" s="90" t="s">
        <v>125</v>
      </c>
      <c r="B17" s="90">
        <v>0.02</v>
      </c>
      <c r="C17" s="90">
        <v>0.02</v>
      </c>
      <c r="D17" s="90">
        <v>0.02</v>
      </c>
      <c r="E17" s="90">
        <v>0.02</v>
      </c>
      <c r="F17" s="90">
        <v>0.02</v>
      </c>
      <c r="G17" s="90">
        <v>0.02</v>
      </c>
      <c r="H17" s="90">
        <v>0.02</v>
      </c>
      <c r="I17" s="90">
        <v>0.02</v>
      </c>
      <c r="J17" s="90">
        <v>0.01</v>
      </c>
      <c r="K17" s="90">
        <v>0.01</v>
      </c>
      <c r="L17" s="90">
        <v>0.01</v>
      </c>
    </row>
    <row r="18">
      <c r="A18" s="89" t="s">
        <v>128</v>
      </c>
      <c r="B18" s="90">
        <v>0.2</v>
      </c>
      <c r="C18" s="90">
        <v>0.2</v>
      </c>
      <c r="D18" s="90">
        <v>0.3</v>
      </c>
      <c r="E18" s="90">
        <v>0.4</v>
      </c>
      <c r="F18" s="90">
        <v>0.4</v>
      </c>
      <c r="G18" s="90">
        <v>0.5</v>
      </c>
      <c r="H18" s="90">
        <v>0.6</v>
      </c>
      <c r="I18" s="90">
        <v>0.6</v>
      </c>
      <c r="J18" s="90">
        <v>0.7</v>
      </c>
      <c r="K18" s="90">
        <v>0.7</v>
      </c>
      <c r="L18" s="90">
        <v>0.8</v>
      </c>
    </row>
    <row r="19">
      <c r="A19" s="90" t="s">
        <v>125</v>
      </c>
      <c r="B19" s="90">
        <v>0.02</v>
      </c>
      <c r="C19" s="90">
        <v>0.02</v>
      </c>
      <c r="D19" s="90">
        <v>0.02</v>
      </c>
      <c r="E19" s="90">
        <v>0.02</v>
      </c>
      <c r="F19" s="90">
        <v>0.02</v>
      </c>
      <c r="G19" s="90">
        <v>0.02</v>
      </c>
      <c r="H19" s="90">
        <v>0.02</v>
      </c>
      <c r="I19" s="90">
        <v>0.02</v>
      </c>
      <c r="J19" s="90">
        <v>0.02</v>
      </c>
      <c r="K19" s="90">
        <v>0.02</v>
      </c>
      <c r="L19" s="90">
        <v>0.02</v>
      </c>
    </row>
    <row r="20">
      <c r="A20" s="83"/>
      <c r="B20" s="83"/>
      <c r="C20" s="83"/>
      <c r="D20" s="83"/>
      <c r="E20" s="83"/>
      <c r="F20" s="83"/>
      <c r="G20" s="83"/>
      <c r="H20" s="83"/>
      <c r="I20" s="83"/>
      <c r="J20" s="83"/>
      <c r="K20" s="83"/>
      <c r="L20" s="83"/>
    </row>
    <row r="21">
      <c r="A21" s="82" t="s">
        <v>129</v>
      </c>
      <c r="B21" s="83"/>
      <c r="C21" s="94">
        <f t="shared" ref="C21:L21" si="1">C14+C12-C16-C18</f>
        <v>2.8</v>
      </c>
      <c r="D21" s="94">
        <f t="shared" si="1"/>
        <v>3.9</v>
      </c>
      <c r="E21" s="94">
        <f t="shared" si="1"/>
        <v>5.3</v>
      </c>
      <c r="F21" s="94">
        <f t="shared" si="1"/>
        <v>7</v>
      </c>
      <c r="G21" s="94">
        <f t="shared" si="1"/>
        <v>8.8</v>
      </c>
      <c r="H21" s="94">
        <f t="shared" si="1"/>
        <v>9.6</v>
      </c>
      <c r="I21" s="94">
        <f t="shared" si="1"/>
        <v>10.6</v>
      </c>
      <c r="J21" s="94">
        <f t="shared" si="1"/>
        <v>11.4</v>
      </c>
      <c r="K21" s="94">
        <f t="shared" si="1"/>
        <v>12.4</v>
      </c>
      <c r="L21" s="94">
        <f t="shared" si="1"/>
        <v>13.1</v>
      </c>
    </row>
    <row r="22">
      <c r="A22" s="83"/>
      <c r="B22" s="83"/>
      <c r="C22" s="83"/>
      <c r="D22" s="83"/>
      <c r="E22" s="83"/>
      <c r="F22" s="83"/>
      <c r="G22" s="83"/>
      <c r="H22" s="83"/>
      <c r="I22" s="83"/>
      <c r="J22" s="83"/>
      <c r="K22" s="83"/>
      <c r="L22" s="83"/>
    </row>
    <row r="23">
      <c r="A23" s="82" t="s">
        <v>79</v>
      </c>
      <c r="B23" s="83"/>
      <c r="C23" s="85">
        <v>1.0</v>
      </c>
      <c r="D23" s="85">
        <f t="shared" ref="D23:L23" si="2">C23+1</f>
        <v>2</v>
      </c>
      <c r="E23" s="85">
        <f t="shared" si="2"/>
        <v>3</v>
      </c>
      <c r="F23" s="85">
        <f t="shared" si="2"/>
        <v>4</v>
      </c>
      <c r="G23" s="85">
        <f t="shared" si="2"/>
        <v>5</v>
      </c>
      <c r="H23" s="85">
        <f t="shared" si="2"/>
        <v>6</v>
      </c>
      <c r="I23" s="85">
        <f t="shared" si="2"/>
        <v>7</v>
      </c>
      <c r="J23" s="85">
        <f t="shared" si="2"/>
        <v>8</v>
      </c>
      <c r="K23" s="85">
        <f t="shared" si="2"/>
        <v>9</v>
      </c>
      <c r="L23" s="85">
        <f t="shared" si="2"/>
        <v>10</v>
      </c>
    </row>
    <row r="24">
      <c r="A24" s="82" t="s">
        <v>130</v>
      </c>
      <c r="B24" s="83"/>
      <c r="C24" s="95">
        <f t="shared" ref="C24:L24" si="3">1/(1+$B$2)^C23</f>
        <v>0.8333333333</v>
      </c>
      <c r="D24" s="95">
        <f t="shared" si="3"/>
        <v>0.6944444444</v>
      </c>
      <c r="E24" s="95">
        <f t="shared" si="3"/>
        <v>0.5787037037</v>
      </c>
      <c r="F24" s="95">
        <f t="shared" si="3"/>
        <v>0.4822530864</v>
      </c>
      <c r="G24" s="95">
        <f t="shared" si="3"/>
        <v>0.401877572</v>
      </c>
      <c r="H24" s="95">
        <f t="shared" si="3"/>
        <v>0.3348979767</v>
      </c>
      <c r="I24" s="95">
        <f t="shared" si="3"/>
        <v>0.2790816472</v>
      </c>
      <c r="J24" s="95">
        <f t="shared" si="3"/>
        <v>0.2325680394</v>
      </c>
      <c r="K24" s="95">
        <f t="shared" si="3"/>
        <v>0.1938066995</v>
      </c>
      <c r="L24" s="95">
        <f t="shared" si="3"/>
        <v>0.1615055829</v>
      </c>
    </row>
    <row r="25">
      <c r="A25" s="82" t="s">
        <v>131</v>
      </c>
      <c r="B25" s="83"/>
      <c r="C25" s="95">
        <f t="shared" ref="C25:L25" si="4">C21*C24</f>
        <v>2.333333333</v>
      </c>
      <c r="D25" s="95">
        <f t="shared" si="4"/>
        <v>2.708333333</v>
      </c>
      <c r="E25" s="95">
        <f t="shared" si="4"/>
        <v>3.06712963</v>
      </c>
      <c r="F25" s="95">
        <f t="shared" si="4"/>
        <v>3.375771605</v>
      </c>
      <c r="G25" s="95">
        <f t="shared" si="4"/>
        <v>3.536522634</v>
      </c>
      <c r="H25" s="95">
        <f t="shared" si="4"/>
        <v>3.215020576</v>
      </c>
      <c r="I25" s="95">
        <f t="shared" si="4"/>
        <v>2.958265461</v>
      </c>
      <c r="J25" s="95">
        <f t="shared" si="4"/>
        <v>2.651275649</v>
      </c>
      <c r="K25" s="95">
        <f t="shared" si="4"/>
        <v>2.403203073</v>
      </c>
      <c r="L25" s="95">
        <f t="shared" si="4"/>
        <v>2.115723136</v>
      </c>
    </row>
    <row r="26">
      <c r="A26" s="83"/>
      <c r="B26" s="83"/>
      <c r="C26" s="96"/>
      <c r="D26" s="83"/>
      <c r="E26" s="83"/>
      <c r="F26" s="83"/>
      <c r="G26" s="83"/>
      <c r="H26" s="83"/>
      <c r="I26" s="83"/>
      <c r="J26" s="83"/>
      <c r="K26" s="83"/>
      <c r="L26" s="83"/>
    </row>
    <row r="27">
      <c r="A27" s="82" t="s">
        <v>132</v>
      </c>
      <c r="B27" s="95">
        <f>SUM(C25:L25)</f>
        <v>28.36457843</v>
      </c>
      <c r="C27" s="83"/>
      <c r="D27" s="83"/>
      <c r="E27" s="83"/>
      <c r="F27" s="83"/>
      <c r="G27" s="83"/>
      <c r="H27" s="83"/>
      <c r="I27" s="83"/>
      <c r="J27" s="83"/>
      <c r="K27" s="83"/>
      <c r="L27" s="83"/>
    </row>
    <row r="28">
      <c r="A28" s="82" t="s">
        <v>133</v>
      </c>
      <c r="B28" s="95">
        <f>L21</f>
        <v>13.1</v>
      </c>
      <c r="C28" s="83"/>
      <c r="D28" s="83"/>
      <c r="E28" s="83"/>
      <c r="F28" s="83"/>
      <c r="G28" s="83"/>
      <c r="H28" s="83"/>
      <c r="I28" s="83"/>
      <c r="J28" s="83"/>
      <c r="K28" s="83"/>
      <c r="L28" s="83"/>
    </row>
    <row r="29">
      <c r="A29" s="82" t="s">
        <v>134</v>
      </c>
      <c r="B29" s="95">
        <f>B28*(1+$B$3)/($B$2-$B$3)</f>
        <v>85.15</v>
      </c>
      <c r="C29" s="83"/>
      <c r="D29" s="83"/>
      <c r="E29" s="83"/>
      <c r="F29" s="83"/>
      <c r="G29" s="83"/>
      <c r="H29" s="83"/>
      <c r="I29" s="83"/>
      <c r="J29" s="83"/>
      <c r="K29" s="83"/>
      <c r="L29" s="83"/>
    </row>
    <row r="30">
      <c r="A30" s="82" t="s">
        <v>135</v>
      </c>
      <c r="B30" s="95">
        <f>B29/(1+$B$2)^10</f>
        <v>13.75220038</v>
      </c>
      <c r="C30" s="83"/>
      <c r="D30" s="83"/>
      <c r="E30" s="83"/>
      <c r="F30" s="83"/>
      <c r="G30" s="83"/>
      <c r="H30" s="83"/>
      <c r="I30" s="83"/>
      <c r="J30" s="83"/>
      <c r="K30" s="83"/>
      <c r="L30" s="83"/>
    </row>
    <row r="31">
      <c r="A31" s="97" t="s">
        <v>136</v>
      </c>
      <c r="B31" s="98">
        <f>B27+B30</f>
        <v>42.11677881</v>
      </c>
      <c r="C31" s="83"/>
      <c r="D31" s="83"/>
      <c r="E31" s="83"/>
      <c r="F31" s="83"/>
      <c r="G31" s="83"/>
      <c r="H31" s="83"/>
      <c r="I31" s="83"/>
      <c r="J31" s="83"/>
      <c r="K31" s="83"/>
      <c r="L31" s="83"/>
    </row>
  </sheetData>
  <drawing r:id="rId1"/>
</worksheet>
</file>
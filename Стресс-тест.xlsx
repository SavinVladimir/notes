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The Experts\"/>
    </mc:Choice>
  </mc:AlternateContent>
  <xr:revisionPtr revIDLastSave="0" documentId="13_ncr:1_{D91D6BD2-C42D-42B0-A304-1086ED7248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B29" i="1"/>
  <c r="C23" i="1"/>
  <c r="D24" i="1"/>
  <c r="E24" i="1" s="1"/>
  <c r="C25" i="1"/>
  <c r="C26" i="1" s="1"/>
  <c r="D25" i="1"/>
  <c r="B13" i="1"/>
  <c r="C13" i="1"/>
  <c r="B15" i="1"/>
  <c r="C15" i="1"/>
  <c r="B17" i="1"/>
  <c r="C17" i="1"/>
  <c r="B19" i="1"/>
  <c r="C19" i="1"/>
  <c r="B21" i="1"/>
  <c r="C21" i="1"/>
  <c r="C11" i="1"/>
  <c r="B11" i="1"/>
  <c r="O8" i="1"/>
  <c r="Q7" i="1"/>
  <c r="Q6" i="1"/>
  <c r="Q5" i="1"/>
  <c r="Q4" i="1"/>
  <c r="Q3" i="1"/>
  <c r="Q8" i="1" s="1"/>
  <c r="Q9" i="1" s="1"/>
  <c r="E25" i="1" l="1"/>
  <c r="F24" i="1"/>
  <c r="D10" i="1"/>
  <c r="D11" i="1" s="1"/>
  <c r="E10" i="1"/>
  <c r="E11" i="1" s="1"/>
  <c r="F10" i="1"/>
  <c r="F11" i="1" s="1"/>
  <c r="G10" i="1"/>
  <c r="G11" i="1" s="1"/>
  <c r="H10" i="1"/>
  <c r="H11" i="1" s="1"/>
  <c r="I10" i="1"/>
  <c r="I11" i="1" s="1"/>
  <c r="J10" i="1"/>
  <c r="J11" i="1" s="1"/>
  <c r="K10" i="1"/>
  <c r="K11" i="1" s="1"/>
  <c r="L10" i="1"/>
  <c r="L11" i="1" s="1"/>
  <c r="D13" i="1" l="1"/>
  <c r="D21" i="1"/>
  <c r="D15" i="1"/>
  <c r="D19" i="1"/>
  <c r="E19" i="1"/>
  <c r="E21" i="1"/>
  <c r="E13" i="1"/>
  <c r="E15" i="1"/>
  <c r="F13" i="1"/>
  <c r="F15" i="1"/>
  <c r="F19" i="1"/>
  <c r="F21" i="1"/>
  <c r="G13" i="1"/>
  <c r="G15" i="1"/>
  <c r="G21" i="1"/>
  <c r="G19" i="1"/>
  <c r="H13" i="1"/>
  <c r="H15" i="1"/>
  <c r="H19" i="1"/>
  <c r="H21" i="1"/>
  <c r="I13" i="1"/>
  <c r="I15" i="1"/>
  <c r="I19" i="1"/>
  <c r="I21" i="1"/>
  <c r="J13" i="1"/>
  <c r="J15" i="1"/>
  <c r="J19" i="1"/>
  <c r="J21" i="1"/>
  <c r="K13" i="1"/>
  <c r="K15" i="1"/>
  <c r="K19" i="1"/>
  <c r="K21" i="1"/>
  <c r="L13" i="1"/>
  <c r="L19" i="1"/>
  <c r="L15" i="1"/>
  <c r="L21" i="1"/>
  <c r="G24" i="1"/>
  <c r="F25" i="1"/>
  <c r="D17" i="1" l="1"/>
  <c r="D23" i="1" s="1"/>
  <c r="D26" i="1" s="1"/>
  <c r="E17" i="1"/>
  <c r="E23" i="1" s="1"/>
  <c r="E26" i="1" s="1"/>
  <c r="F17" i="1"/>
  <c r="F23" i="1" s="1"/>
  <c r="F26" i="1" s="1"/>
  <c r="G17" i="1"/>
  <c r="G23" i="1" s="1"/>
  <c r="H17" i="1"/>
  <c r="H23" i="1" s="1"/>
  <c r="I17" i="1"/>
  <c r="I23" i="1" s="1"/>
  <c r="J17" i="1"/>
  <c r="J23" i="1" s="1"/>
  <c r="K17" i="1"/>
  <c r="K23" i="1" s="1"/>
  <c r="L17" i="1"/>
  <c r="L23" i="1" s="1"/>
  <c r="H24" i="1"/>
  <c r="G25" i="1"/>
  <c r="G26" i="1" l="1"/>
  <c r="H25" i="1"/>
  <c r="H26" i="1" s="1"/>
  <c r="I24" i="1"/>
  <c r="J24" i="1" l="1"/>
  <c r="I25" i="1"/>
  <c r="I26" i="1" s="1"/>
  <c r="J25" i="1" l="1"/>
  <c r="J26" i="1" s="1"/>
  <c r="K24" i="1"/>
  <c r="K25" i="1" l="1"/>
  <c r="K26" i="1" s="1"/>
  <c r="L24" i="1"/>
  <c r="L25" i="1" s="1"/>
  <c r="B30" i="1" l="1"/>
  <c r="L26" i="1"/>
  <c r="B27" i="1" s="1"/>
  <c r="B31" i="1" l="1"/>
  <c r="O14" i="1" s="1"/>
  <c r="P17" i="1"/>
  <c r="P15" i="1" l="1"/>
  <c r="P19" i="1"/>
  <c r="P16" i="1"/>
  <c r="P18" i="1"/>
</calcChain>
</file>

<file path=xl/sharedStrings.xml><?xml version="1.0" encoding="utf-8"?>
<sst xmlns="http://schemas.openxmlformats.org/spreadsheetml/2006/main" count="65" uniqueCount="61">
  <si>
    <t>Параметр</t>
  </si>
  <si>
    <t>Значение</t>
  </si>
  <si>
    <t>СТРЕСС-ТЕСТИРОВАНИЕ ПО СЕГМЕНТАМ</t>
  </si>
  <si>
    <t>WACC</t>
  </si>
  <si>
    <t>Сегмент</t>
  </si>
  <si>
    <t>Доля</t>
  </si>
  <si>
    <t>Новая доля</t>
  </si>
  <si>
    <t>Долгосрочный рост (g)</t>
  </si>
  <si>
    <t>Классифайды</t>
  </si>
  <si>
    <t>Ставка налога</t>
  </si>
  <si>
    <t>Дилерские продукты</t>
  </si>
  <si>
    <t>Чистый долг</t>
  </si>
  <si>
    <t>Реклама</t>
  </si>
  <si>
    <t>Дата оценки</t>
  </si>
  <si>
    <t>31.03.2026</t>
  </si>
  <si>
    <t>Дополнительные сервисы</t>
  </si>
  <si>
    <t>млрд. руб.</t>
  </si>
  <si>
    <t>Прочее</t>
  </si>
  <si>
    <t>2025Ф</t>
  </si>
  <si>
    <t>2026П</t>
  </si>
  <si>
    <t>2027П</t>
  </si>
  <si>
    <t>2028П</t>
  </si>
  <si>
    <t>2029П</t>
  </si>
  <si>
    <t>2030П</t>
  </si>
  <si>
    <t>2031П</t>
  </si>
  <si>
    <t>2032П</t>
  </si>
  <si>
    <t>2033П</t>
  </si>
  <si>
    <t>2034П</t>
  </si>
  <si>
    <t>2035П</t>
  </si>
  <si>
    <t>Итого</t>
  </si>
  <si>
    <t>Выручка</t>
  </si>
  <si>
    <t>Коэфф. снижения выручки</t>
  </si>
  <si>
    <t>Стресс-коррекция</t>
  </si>
  <si>
    <t>Выручка (скорректированная)</t>
  </si>
  <si>
    <t>% рост г/г</t>
  </si>
  <si>
    <t>СЦЕНАРИИ</t>
  </si>
  <si>
    <t>EBITDA</t>
  </si>
  <si>
    <t>Сценарий</t>
  </si>
  <si>
    <t>EV</t>
  </si>
  <si>
    <t>Изменение EV</t>
  </si>
  <si>
    <t>% выручки</t>
  </si>
  <si>
    <t>Базовый</t>
  </si>
  <si>
    <t>D&amp;A</t>
  </si>
  <si>
    <t>А: Классиф. -20%</t>
  </si>
  <si>
    <t>Б: Дилеры -30%</t>
  </si>
  <si>
    <t>NOPAT</t>
  </si>
  <si>
    <t>В: Реклама -40%</t>
  </si>
  <si>
    <t>% ставки налога</t>
  </si>
  <si>
    <t>Г: Все -10%</t>
  </si>
  <si>
    <t>Капитальные затраты</t>
  </si>
  <si>
    <t>Д: Класс -30% + Рекл -20%</t>
  </si>
  <si>
    <t>Уменьшение/(увеличение) оборотного капитала</t>
  </si>
  <si>
    <t>FCF</t>
  </si>
  <si>
    <t>Год</t>
  </si>
  <si>
    <t>К дисконтирования</t>
  </si>
  <si>
    <t>PV FCF</t>
  </si>
  <si>
    <t>Сумма PV FCF</t>
  </si>
  <si>
    <t>FCF в последний год (2035)</t>
  </si>
  <si>
    <t>TV</t>
  </si>
  <si>
    <t>PV TV</t>
  </si>
  <si>
    <t>Падение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</si>
</sst>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0" fontId="0" fillId="0" borderId="0" xfId="0" applyNumberFormat="1"/>
    <xf numFmtId="0" fontId="1" fillId="0" borderId="1" xfId="0" applyFont="1" applyBorder="1"/>
    <xf numFmtId="0" fontId="0" fillId="0" borderId="1" xfId="0" applyBorder="1"/>
    <xf numFmtId="10" fontId="0" fillId="0" borderId="1" xfId="0" applyNumberForma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1" xfId="0" applyNumberFormat="1" applyBorder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Q31"/>
  <sheetViews>
    <sheetView tabSelected="1" zoomScale="85" zoomScaleNormal="85" workbookViewId="0">
      <selection activeCell="B29" sqref="B29"/>
    </sheetView>
  </sheetViews>
  <sheetFormatPr defaultRowHeight="14.4" x14ac:dyDescent="0.3"/>
  <cols>
    <col min="1" max="1" width="47.33203125" bestFit="1" customWidth="1"/>
    <col min="2" max="12" width="12.77734375" customWidth="1"/>
    <col min="14" max="14" width="46.109375" bestFit="1" customWidth="1"/>
    <col min="15" max="19" width="18.77734375" customWidth="1"/>
  </cols>
  <sheetData>
    <row r="1" spans="1:17" ht="18" x14ac:dyDescent="0.35">
      <c r="A1" s="1" t="s">
        <v>0</v>
      </c>
      <c r="B1" t="s">
        <v>1</v>
      </c>
      <c r="N1" s="2" t="s">
        <v>2</v>
      </c>
    </row>
    <row r="2" spans="1:17" x14ac:dyDescent="0.3">
      <c r="A2" t="s">
        <v>3</v>
      </c>
      <c r="B2" s="3">
        <v>0.2</v>
      </c>
      <c r="N2" s="4" t="s">
        <v>4</v>
      </c>
      <c r="O2" s="4" t="s">
        <v>5</v>
      </c>
      <c r="P2" s="4" t="s">
        <v>60</v>
      </c>
      <c r="Q2" s="4" t="s">
        <v>6</v>
      </c>
    </row>
    <row r="3" spans="1:17" x14ac:dyDescent="0.3">
      <c r="A3" t="s">
        <v>7</v>
      </c>
      <c r="B3" s="3">
        <v>0.04</v>
      </c>
      <c r="N3" s="5" t="s">
        <v>8</v>
      </c>
      <c r="O3" s="6">
        <v>0.45</v>
      </c>
      <c r="P3" s="6">
        <v>0</v>
      </c>
      <c r="Q3" s="6">
        <f>O3*(1-P3)</f>
        <v>0.45</v>
      </c>
    </row>
    <row r="4" spans="1:17" x14ac:dyDescent="0.3">
      <c r="A4" t="s">
        <v>9</v>
      </c>
      <c r="B4" s="3">
        <v>0.25</v>
      </c>
      <c r="N4" s="5" t="s">
        <v>10</v>
      </c>
      <c r="O4" s="6">
        <v>0.25</v>
      </c>
      <c r="P4" s="6">
        <v>0</v>
      </c>
      <c r="Q4" s="6">
        <f>O4*(1-P4)</f>
        <v>0.25</v>
      </c>
    </row>
    <row r="5" spans="1:17" x14ac:dyDescent="0.3">
      <c r="A5" t="s">
        <v>11</v>
      </c>
      <c r="B5" s="3">
        <v>0</v>
      </c>
      <c r="N5" s="5" t="s">
        <v>12</v>
      </c>
      <c r="O5" s="6">
        <v>0.17499999999999999</v>
      </c>
      <c r="P5" s="6">
        <v>0</v>
      </c>
      <c r="Q5" s="6">
        <f>O5*(1-P5)</f>
        <v>0.17499999999999999</v>
      </c>
    </row>
    <row r="6" spans="1:17" x14ac:dyDescent="0.3">
      <c r="A6" t="s">
        <v>13</v>
      </c>
      <c r="B6" s="13" t="s">
        <v>14</v>
      </c>
      <c r="N6" s="5" t="s">
        <v>15</v>
      </c>
      <c r="O6" s="6">
        <v>7.4999999999999997E-2</v>
      </c>
      <c r="P6" s="6">
        <v>0</v>
      </c>
      <c r="Q6" s="6">
        <f>O6*(1-P6)</f>
        <v>7.4999999999999997E-2</v>
      </c>
    </row>
    <row r="7" spans="1:17" x14ac:dyDescent="0.3">
      <c r="A7" s="1" t="s">
        <v>16</v>
      </c>
      <c r="N7" s="5" t="s">
        <v>17</v>
      </c>
      <c r="O7" s="6">
        <v>0.05</v>
      </c>
      <c r="P7" s="6">
        <v>0</v>
      </c>
      <c r="Q7" s="6">
        <f>O7*(1-P7)</f>
        <v>0.05</v>
      </c>
    </row>
    <row r="8" spans="1:17" x14ac:dyDescent="0.3">
      <c r="A8" s="1"/>
      <c r="B8" s="7" t="s">
        <v>18</v>
      </c>
      <c r="C8" s="7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  <c r="I8" s="7" t="s">
        <v>25</v>
      </c>
      <c r="J8" s="7" t="s">
        <v>26</v>
      </c>
      <c r="K8" s="7" t="s">
        <v>27</v>
      </c>
      <c r="L8" s="7" t="s">
        <v>28</v>
      </c>
      <c r="N8" s="5" t="s">
        <v>29</v>
      </c>
      <c r="O8" s="6">
        <f>SUM(O3:O7)</f>
        <v>1</v>
      </c>
      <c r="P8" s="5"/>
      <c r="Q8" s="6">
        <f>SUM(Q3:Q7)</f>
        <v>1</v>
      </c>
    </row>
    <row r="9" spans="1:17" x14ac:dyDescent="0.3">
      <c r="A9" s="8" t="s">
        <v>30</v>
      </c>
      <c r="B9" s="9">
        <v>10</v>
      </c>
      <c r="C9" s="9">
        <v>11.5</v>
      </c>
      <c r="D9" s="9">
        <v>15</v>
      </c>
      <c r="E9" s="9">
        <v>18.7</v>
      </c>
      <c r="F9" s="9">
        <v>22.4</v>
      </c>
      <c r="G9" s="9">
        <v>25.8</v>
      </c>
      <c r="H9" s="9">
        <v>28.4</v>
      </c>
      <c r="I9" s="9">
        <v>30.9</v>
      </c>
      <c r="J9" s="9">
        <v>33.4</v>
      </c>
      <c r="K9" s="9">
        <v>35.700000000000003</v>
      </c>
      <c r="L9" s="9">
        <v>37.9</v>
      </c>
      <c r="N9" s="5" t="s">
        <v>31</v>
      </c>
      <c r="O9" s="5"/>
      <c r="P9" s="5"/>
      <c r="Q9" s="6">
        <f>Q8/O8</f>
        <v>1</v>
      </c>
    </row>
    <row r="10" spans="1:17" x14ac:dyDescent="0.3">
      <c r="A10" s="14" t="s">
        <v>32</v>
      </c>
      <c r="B10" s="10">
        <v>1</v>
      </c>
      <c r="C10" s="10">
        <v>1</v>
      </c>
      <c r="D10" s="10">
        <f t="shared" ref="D10:L10" si="0">$Q$9</f>
        <v>1</v>
      </c>
      <c r="E10" s="10">
        <f t="shared" si="0"/>
        <v>1</v>
      </c>
      <c r="F10" s="10">
        <f t="shared" si="0"/>
        <v>1</v>
      </c>
      <c r="G10" s="10">
        <f t="shared" si="0"/>
        <v>1</v>
      </c>
      <c r="H10" s="10">
        <f t="shared" si="0"/>
        <v>1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0">
        <f t="shared" si="0"/>
        <v>1</v>
      </c>
    </row>
    <row r="11" spans="1:17" x14ac:dyDescent="0.3">
      <c r="A11" s="8" t="s">
        <v>33</v>
      </c>
      <c r="B11" s="9">
        <f t="shared" ref="B11:L11" si="1">B9*B10</f>
        <v>10</v>
      </c>
      <c r="C11" s="9">
        <f t="shared" si="1"/>
        <v>11.5</v>
      </c>
      <c r="D11" s="9">
        <f t="shared" si="1"/>
        <v>15</v>
      </c>
      <c r="E11" s="9">
        <f t="shared" si="1"/>
        <v>18.7</v>
      </c>
      <c r="F11" s="9">
        <f t="shared" si="1"/>
        <v>22.4</v>
      </c>
      <c r="G11" s="9">
        <f t="shared" si="1"/>
        <v>25.8</v>
      </c>
      <c r="H11" s="9">
        <f t="shared" si="1"/>
        <v>28.4</v>
      </c>
      <c r="I11" s="9">
        <f t="shared" si="1"/>
        <v>30.9</v>
      </c>
      <c r="J11" s="9">
        <f t="shared" si="1"/>
        <v>33.4</v>
      </c>
      <c r="K11" s="9">
        <f t="shared" si="1"/>
        <v>35.700000000000003</v>
      </c>
      <c r="L11" s="9">
        <f t="shared" si="1"/>
        <v>37.9</v>
      </c>
    </row>
    <row r="12" spans="1:17" x14ac:dyDescent="0.3">
      <c r="A12" s="14" t="s">
        <v>34</v>
      </c>
      <c r="B12" s="10">
        <v>0.15</v>
      </c>
      <c r="C12" s="10">
        <v>0.3</v>
      </c>
      <c r="D12" s="10">
        <v>0.25</v>
      </c>
      <c r="E12" s="10">
        <v>0.2</v>
      </c>
      <c r="F12" s="10">
        <v>0.15</v>
      </c>
      <c r="G12" s="10">
        <v>0.1</v>
      </c>
      <c r="H12" s="10">
        <v>0.09</v>
      </c>
      <c r="I12" s="10">
        <v>0.08</v>
      </c>
      <c r="J12" s="10">
        <v>7.0000000000000007E-2</v>
      </c>
      <c r="K12" s="10">
        <v>0.06</v>
      </c>
      <c r="L12" s="10">
        <v>0.06</v>
      </c>
      <c r="N12" s="1" t="s">
        <v>35</v>
      </c>
    </row>
    <row r="13" spans="1:17" x14ac:dyDescent="0.3">
      <c r="A13" s="8" t="s">
        <v>36</v>
      </c>
      <c r="B13" s="9">
        <f t="shared" ref="B13:L13" si="2">B11*B14</f>
        <v>3.5</v>
      </c>
      <c r="C13" s="9">
        <f t="shared" si="2"/>
        <v>4.2549999999999999</v>
      </c>
      <c r="D13" s="9">
        <f t="shared" si="2"/>
        <v>6</v>
      </c>
      <c r="E13" s="9">
        <f t="shared" si="2"/>
        <v>8.0410000000000004</v>
      </c>
      <c r="F13" s="9">
        <f t="shared" si="2"/>
        <v>10.304</v>
      </c>
      <c r="G13" s="9">
        <f t="shared" si="2"/>
        <v>12.9</v>
      </c>
      <c r="H13" s="9">
        <f t="shared" si="2"/>
        <v>14.2</v>
      </c>
      <c r="I13" s="9">
        <f t="shared" si="2"/>
        <v>15.45</v>
      </c>
      <c r="J13" s="9">
        <f t="shared" si="2"/>
        <v>16.7</v>
      </c>
      <c r="K13" s="9">
        <f t="shared" si="2"/>
        <v>17.850000000000001</v>
      </c>
      <c r="L13" s="9">
        <f t="shared" si="2"/>
        <v>18.95</v>
      </c>
      <c r="N13" s="4" t="s">
        <v>37</v>
      </c>
      <c r="O13" s="4" t="s">
        <v>38</v>
      </c>
      <c r="P13" s="4" t="s">
        <v>39</v>
      </c>
      <c r="Q13" s="1"/>
    </row>
    <row r="14" spans="1:17" x14ac:dyDescent="0.3">
      <c r="A14" s="14" t="s">
        <v>40</v>
      </c>
      <c r="B14" s="10">
        <v>0.35</v>
      </c>
      <c r="C14" s="10">
        <v>0.37</v>
      </c>
      <c r="D14" s="10">
        <v>0.4</v>
      </c>
      <c r="E14" s="10">
        <v>0.43</v>
      </c>
      <c r="F14" s="10">
        <v>0.46</v>
      </c>
      <c r="G14" s="10">
        <v>0.5</v>
      </c>
      <c r="H14" s="10">
        <v>0.5</v>
      </c>
      <c r="I14" s="10">
        <v>0.5</v>
      </c>
      <c r="J14" s="10">
        <v>0.5</v>
      </c>
      <c r="K14" s="10">
        <v>0.5</v>
      </c>
      <c r="L14" s="10">
        <v>0.5</v>
      </c>
      <c r="N14" s="5" t="s">
        <v>41</v>
      </c>
      <c r="O14" s="11">
        <f>B31</f>
        <v>46.061239436835884</v>
      </c>
      <c r="P14" s="6">
        <v>0</v>
      </c>
      <c r="Q14" s="3"/>
    </row>
    <row r="15" spans="1:17" x14ac:dyDescent="0.3">
      <c r="A15" s="8" t="s">
        <v>42</v>
      </c>
      <c r="B15" s="9">
        <f t="shared" ref="B15:L15" si="3">B11*B16</f>
        <v>0.1</v>
      </c>
      <c r="C15" s="9">
        <f t="shared" si="3"/>
        <v>0.115</v>
      </c>
      <c r="D15" s="9">
        <f t="shared" si="3"/>
        <v>0.15</v>
      </c>
      <c r="E15" s="9">
        <f t="shared" si="3"/>
        <v>0.187</v>
      </c>
      <c r="F15" s="9">
        <f t="shared" si="3"/>
        <v>0.22399999999999998</v>
      </c>
      <c r="G15" s="9">
        <f t="shared" si="3"/>
        <v>0.25800000000000001</v>
      </c>
      <c r="H15" s="9">
        <f t="shared" si="3"/>
        <v>0.28399999999999997</v>
      </c>
      <c r="I15" s="9">
        <f t="shared" si="3"/>
        <v>0.309</v>
      </c>
      <c r="J15" s="9">
        <f t="shared" si="3"/>
        <v>0.33400000000000002</v>
      </c>
      <c r="K15" s="9">
        <f t="shared" si="3"/>
        <v>0.35700000000000004</v>
      </c>
      <c r="L15" s="9">
        <f t="shared" si="3"/>
        <v>0.379</v>
      </c>
      <c r="N15" s="5" t="s">
        <v>43</v>
      </c>
      <c r="O15" s="11">
        <v>41.607051094634024</v>
      </c>
      <c r="P15" s="6">
        <f>(O15-$O$14)/$O$14</f>
        <v>-9.6701443483949698E-2</v>
      </c>
      <c r="Q15" s="3"/>
    </row>
    <row r="16" spans="1:17" x14ac:dyDescent="0.3">
      <c r="A16" s="14" t="s">
        <v>40</v>
      </c>
      <c r="B16" s="10">
        <v>0.01</v>
      </c>
      <c r="C16" s="10">
        <v>0.01</v>
      </c>
      <c r="D16" s="10">
        <v>0.01</v>
      </c>
      <c r="E16" s="10">
        <v>0.01</v>
      </c>
      <c r="F16" s="10">
        <v>0.01</v>
      </c>
      <c r="G16" s="10">
        <v>0.01</v>
      </c>
      <c r="H16" s="10">
        <v>0.01</v>
      </c>
      <c r="I16" s="10">
        <v>0.01</v>
      </c>
      <c r="J16" s="10">
        <v>0.01</v>
      </c>
      <c r="K16" s="10">
        <v>0.01</v>
      </c>
      <c r="L16" s="10">
        <v>0.01</v>
      </c>
      <c r="N16" s="5" t="s">
        <v>44</v>
      </c>
      <c r="O16" s="11">
        <v>42.251350995679793</v>
      </c>
      <c r="P16" s="6">
        <f>(O16-$O$14)/$O$14</f>
        <v>-8.2713545873654107E-2</v>
      </c>
      <c r="Q16" s="3"/>
    </row>
    <row r="17" spans="1:17" x14ac:dyDescent="0.3">
      <c r="A17" s="8" t="s">
        <v>45</v>
      </c>
      <c r="B17" s="9">
        <f t="shared" ref="B17:L17" si="4">(B13-B15)*(1-$B$4)</f>
        <v>2.5499999999999998</v>
      </c>
      <c r="C17" s="9">
        <f t="shared" si="4"/>
        <v>3.1049999999999995</v>
      </c>
      <c r="D17" s="9">
        <f t="shared" si="4"/>
        <v>4.3874999999999993</v>
      </c>
      <c r="E17" s="9">
        <f t="shared" si="4"/>
        <v>5.8905000000000003</v>
      </c>
      <c r="F17" s="9">
        <f t="shared" si="4"/>
        <v>7.5600000000000005</v>
      </c>
      <c r="G17" s="9">
        <f t="shared" si="4"/>
        <v>9.4815000000000005</v>
      </c>
      <c r="H17" s="9">
        <f t="shared" si="4"/>
        <v>10.436999999999999</v>
      </c>
      <c r="I17" s="9">
        <f t="shared" si="4"/>
        <v>11.35575</v>
      </c>
      <c r="J17" s="9">
        <f t="shared" si="4"/>
        <v>12.2745</v>
      </c>
      <c r="K17" s="9">
        <f t="shared" si="4"/>
        <v>13.119750000000002</v>
      </c>
      <c r="L17" s="9">
        <f t="shared" si="4"/>
        <v>13.928249999999998</v>
      </c>
      <c r="N17" s="5" t="s">
        <v>46</v>
      </c>
      <c r="O17" s="11">
        <v>42.466117629361712</v>
      </c>
      <c r="P17" s="6">
        <f>(O17-$O$14)/$O$14</f>
        <v>-7.8050913336889002E-2</v>
      </c>
      <c r="Q17" s="3"/>
    </row>
    <row r="18" spans="1:17" x14ac:dyDescent="0.3">
      <c r="A18" s="14" t="s">
        <v>47</v>
      </c>
      <c r="B18" s="10">
        <v>0.25</v>
      </c>
      <c r="C18" s="10">
        <v>0.25</v>
      </c>
      <c r="D18" s="10">
        <v>0.25</v>
      </c>
      <c r="E18" s="10">
        <v>0.25</v>
      </c>
      <c r="F18" s="10">
        <v>0.25</v>
      </c>
      <c r="G18" s="10">
        <v>0.25</v>
      </c>
      <c r="H18" s="10">
        <v>0.25</v>
      </c>
      <c r="I18" s="10">
        <v>0.25</v>
      </c>
      <c r="J18" s="10">
        <v>0.25</v>
      </c>
      <c r="K18" s="10">
        <v>0.25</v>
      </c>
      <c r="L18" s="10">
        <v>0.25</v>
      </c>
      <c r="N18" s="5" t="s">
        <v>48</v>
      </c>
      <c r="O18" s="11">
        <v>41.177517827270179</v>
      </c>
      <c r="P18" s="6">
        <f>(O18-$O$14)/$O$14</f>
        <v>-0.10602670855748003</v>
      </c>
      <c r="Q18" s="3"/>
    </row>
    <row r="19" spans="1:17" x14ac:dyDescent="0.3">
      <c r="A19" s="8" t="s">
        <v>49</v>
      </c>
      <c r="B19" s="9">
        <f t="shared" ref="B19:L19" si="5">B11*B20</f>
        <v>0.2</v>
      </c>
      <c r="C19" s="9">
        <f t="shared" si="5"/>
        <v>0.23</v>
      </c>
      <c r="D19" s="9">
        <f t="shared" si="5"/>
        <v>0.3</v>
      </c>
      <c r="E19" s="9">
        <f t="shared" si="5"/>
        <v>0.374</v>
      </c>
      <c r="F19" s="9">
        <f t="shared" si="5"/>
        <v>0.44799999999999995</v>
      </c>
      <c r="G19" s="9">
        <f t="shared" si="5"/>
        <v>0.51600000000000001</v>
      </c>
      <c r="H19" s="9">
        <f t="shared" si="5"/>
        <v>0.56799999999999995</v>
      </c>
      <c r="I19" s="9">
        <f t="shared" si="5"/>
        <v>0.61799999999999999</v>
      </c>
      <c r="J19" s="9">
        <f t="shared" si="5"/>
        <v>0.66800000000000004</v>
      </c>
      <c r="K19" s="9">
        <f t="shared" si="5"/>
        <v>0.71400000000000008</v>
      </c>
      <c r="L19" s="9">
        <f t="shared" si="5"/>
        <v>0.75800000000000001</v>
      </c>
      <c r="N19" s="5" t="s">
        <v>50</v>
      </c>
      <c r="O19" s="11">
        <v>38.170784955723228</v>
      </c>
      <c r="P19" s="6">
        <f>(O19-$O$14)/$O$14</f>
        <v>-0.17130356407219335</v>
      </c>
      <c r="Q19" s="3"/>
    </row>
    <row r="20" spans="1:17" x14ac:dyDescent="0.3">
      <c r="A20" s="14" t="s">
        <v>40</v>
      </c>
      <c r="B20" s="10">
        <v>0.02</v>
      </c>
      <c r="C20" s="10">
        <v>0.02</v>
      </c>
      <c r="D20" s="10">
        <v>0.02</v>
      </c>
      <c r="E20" s="10">
        <v>0.02</v>
      </c>
      <c r="F20" s="10">
        <v>0.02</v>
      </c>
      <c r="G20" s="10">
        <v>0.02</v>
      </c>
      <c r="H20" s="10">
        <v>0.02</v>
      </c>
      <c r="I20" s="10">
        <v>0.02</v>
      </c>
      <c r="J20" s="10">
        <v>0.02</v>
      </c>
      <c r="K20" s="10">
        <v>0.02</v>
      </c>
      <c r="L20" s="10">
        <v>0.02</v>
      </c>
    </row>
    <row r="21" spans="1:17" x14ac:dyDescent="0.3">
      <c r="A21" s="8" t="s">
        <v>51</v>
      </c>
      <c r="B21" s="9">
        <f t="shared" ref="B21:L21" si="6">B11*B22</f>
        <v>0.2</v>
      </c>
      <c r="C21" s="9">
        <f t="shared" si="6"/>
        <v>0.23</v>
      </c>
      <c r="D21" s="9">
        <f t="shared" si="6"/>
        <v>0.3</v>
      </c>
      <c r="E21" s="9">
        <f t="shared" si="6"/>
        <v>0.374</v>
      </c>
      <c r="F21" s="9">
        <f t="shared" si="6"/>
        <v>0.44799999999999995</v>
      </c>
      <c r="G21" s="9">
        <f t="shared" si="6"/>
        <v>0.51600000000000001</v>
      </c>
      <c r="H21" s="9">
        <f t="shared" si="6"/>
        <v>0.56799999999999995</v>
      </c>
      <c r="I21" s="9">
        <f t="shared" si="6"/>
        <v>0.61799999999999999</v>
      </c>
      <c r="J21" s="9">
        <f t="shared" si="6"/>
        <v>0.66800000000000004</v>
      </c>
      <c r="K21" s="9">
        <f t="shared" si="6"/>
        <v>0.71400000000000008</v>
      </c>
      <c r="L21" s="9">
        <f t="shared" si="6"/>
        <v>0.75800000000000001</v>
      </c>
    </row>
    <row r="22" spans="1:17" x14ac:dyDescent="0.3">
      <c r="A22" s="14" t="s">
        <v>40</v>
      </c>
      <c r="B22" s="10">
        <v>0.02</v>
      </c>
      <c r="C22" s="10">
        <v>0.02</v>
      </c>
      <c r="D22" s="10">
        <v>0.02</v>
      </c>
      <c r="E22" s="10">
        <v>0.02</v>
      </c>
      <c r="F22" s="10">
        <v>0.02</v>
      </c>
      <c r="G22" s="10">
        <v>0.02</v>
      </c>
      <c r="H22" s="10">
        <v>0.02</v>
      </c>
      <c r="I22" s="10">
        <v>0.02</v>
      </c>
      <c r="J22" s="10">
        <v>0.02</v>
      </c>
      <c r="K22" s="10">
        <v>0.02</v>
      </c>
      <c r="L22" s="10">
        <v>0.02</v>
      </c>
    </row>
    <row r="23" spans="1:17" x14ac:dyDescent="0.3">
      <c r="A23" s="8" t="s">
        <v>52</v>
      </c>
      <c r="B23" s="9"/>
      <c r="C23" s="9">
        <f t="shared" ref="C23:L23" si="7">C17+C15-C19-C21</f>
        <v>2.76</v>
      </c>
      <c r="D23" s="9">
        <f t="shared" si="7"/>
        <v>3.9375</v>
      </c>
      <c r="E23" s="9">
        <f t="shared" si="7"/>
        <v>5.3295000000000012</v>
      </c>
      <c r="F23" s="9">
        <f t="shared" si="7"/>
        <v>6.8879999999999999</v>
      </c>
      <c r="G23" s="9">
        <f t="shared" si="7"/>
        <v>8.7074999999999996</v>
      </c>
      <c r="H23" s="9">
        <f t="shared" si="7"/>
        <v>9.5850000000000009</v>
      </c>
      <c r="I23" s="9">
        <f t="shared" si="7"/>
        <v>10.428749999999999</v>
      </c>
      <c r="J23" s="9">
        <f t="shared" si="7"/>
        <v>11.272500000000001</v>
      </c>
      <c r="K23" s="9">
        <f t="shared" si="7"/>
        <v>12.04875</v>
      </c>
      <c r="L23" s="9">
        <f t="shared" si="7"/>
        <v>12.791249999999998</v>
      </c>
      <c r="O23" s="15"/>
    </row>
    <row r="24" spans="1:17" x14ac:dyDescent="0.3">
      <c r="A24" s="8" t="s">
        <v>53</v>
      </c>
      <c r="B24" s="9"/>
      <c r="C24" s="9">
        <v>0.5</v>
      </c>
      <c r="D24" s="9">
        <f t="shared" ref="D24:L24" si="8">C24+1</f>
        <v>1.5</v>
      </c>
      <c r="E24" s="9">
        <f t="shared" si="8"/>
        <v>2.5</v>
      </c>
      <c r="F24" s="9">
        <f t="shared" si="8"/>
        <v>3.5</v>
      </c>
      <c r="G24" s="9">
        <f t="shared" si="8"/>
        <v>4.5</v>
      </c>
      <c r="H24" s="9">
        <f t="shared" si="8"/>
        <v>5.5</v>
      </c>
      <c r="I24" s="9">
        <f t="shared" si="8"/>
        <v>6.5</v>
      </c>
      <c r="J24" s="9">
        <f t="shared" si="8"/>
        <v>7.5</v>
      </c>
      <c r="K24" s="9">
        <f t="shared" si="8"/>
        <v>8.5</v>
      </c>
      <c r="L24" s="9">
        <f t="shared" si="8"/>
        <v>9.5</v>
      </c>
      <c r="O24" s="15"/>
    </row>
    <row r="25" spans="1:17" x14ac:dyDescent="0.3">
      <c r="A25" s="8" t="s">
        <v>54</v>
      </c>
      <c r="B25" s="10"/>
      <c r="C25" s="12">
        <f t="shared" ref="C25:L25" si="9">1/(1+$B$2)^C24</f>
        <v>0.9128709291752769</v>
      </c>
      <c r="D25" s="12">
        <f t="shared" si="9"/>
        <v>0.7607257743127307</v>
      </c>
      <c r="E25" s="12">
        <f t="shared" si="9"/>
        <v>0.63393814526060899</v>
      </c>
      <c r="F25" s="12">
        <f t="shared" si="9"/>
        <v>0.52828178771717416</v>
      </c>
      <c r="G25" s="12">
        <f t="shared" si="9"/>
        <v>0.44023482309764517</v>
      </c>
      <c r="H25" s="12">
        <f t="shared" si="9"/>
        <v>0.36686235258137107</v>
      </c>
      <c r="I25" s="12">
        <f t="shared" si="9"/>
        <v>0.30571862715114251</v>
      </c>
      <c r="J25" s="12">
        <f t="shared" si="9"/>
        <v>0.25476552262595203</v>
      </c>
      <c r="K25" s="12">
        <f t="shared" si="9"/>
        <v>0.21230460218829345</v>
      </c>
      <c r="L25" s="12">
        <f t="shared" si="9"/>
        <v>0.17692050182357785</v>
      </c>
    </row>
    <row r="26" spans="1:17" x14ac:dyDescent="0.3">
      <c r="A26" s="8" t="s">
        <v>55</v>
      </c>
      <c r="B26" s="12"/>
      <c r="C26" s="12">
        <f>C23*C25</f>
        <v>2.5195237645237643</v>
      </c>
      <c r="D26" s="12">
        <f t="shared" ref="D26:L26" si="10">D23*D25</f>
        <v>2.995357736356377</v>
      </c>
      <c r="E26" s="12">
        <f t="shared" si="10"/>
        <v>3.3785733451664162</v>
      </c>
      <c r="F26" s="12">
        <f t="shared" si="10"/>
        <v>3.6388049537958955</v>
      </c>
      <c r="G26" s="12">
        <f t="shared" si="10"/>
        <v>3.833344722122745</v>
      </c>
      <c r="H26" s="12">
        <f t="shared" si="10"/>
        <v>3.5163756494924421</v>
      </c>
      <c r="I26" s="12">
        <f t="shared" si="10"/>
        <v>3.1882631329024771</v>
      </c>
      <c r="J26" s="12">
        <f t="shared" si="10"/>
        <v>2.8718443538010447</v>
      </c>
      <c r="K26" s="12">
        <f t="shared" si="10"/>
        <v>2.5580050756162005</v>
      </c>
      <c r="L26" s="12">
        <f t="shared" si="10"/>
        <v>2.2630343689508399</v>
      </c>
    </row>
    <row r="27" spans="1:17" x14ac:dyDescent="0.3">
      <c r="A27" s="8" t="s">
        <v>56</v>
      </c>
      <c r="B27" s="12">
        <f>SUM(C26:L26)</f>
        <v>30.763127102728205</v>
      </c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7" x14ac:dyDescent="0.3">
      <c r="A28" s="8" t="s">
        <v>57</v>
      </c>
      <c r="B28" s="12">
        <f>L23*(1+B3)</f>
        <v>13.302899999999998</v>
      </c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7" x14ac:dyDescent="0.3">
      <c r="A29" s="8" t="s">
        <v>58</v>
      </c>
      <c r="B29" s="12">
        <f>B28*(1+$B$3)/($B$2-$B$3)</f>
        <v>86.468849999999989</v>
      </c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7" x14ac:dyDescent="0.3">
      <c r="A30" s="8" t="s">
        <v>59</v>
      </c>
      <c r="B30" s="12">
        <f>B29*L25</f>
        <v>15.298112334107678</v>
      </c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7" x14ac:dyDescent="0.3">
      <c r="A31" s="8" t="s">
        <v>38</v>
      </c>
      <c r="B31" s="12">
        <f>B27+B30</f>
        <v>46.061239436835884</v>
      </c>
      <c r="C31" s="7"/>
      <c r="D31" s="7"/>
      <c r="E31" s="7"/>
      <c r="F31" s="7"/>
      <c r="G31" s="7"/>
      <c r="H31" s="7"/>
      <c r="I31" s="7"/>
      <c r="J31" s="7"/>
      <c r="K31" s="7"/>
      <c r="L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Honor</cp:lastModifiedBy>
  <dcterms:created xsi:type="dcterms:W3CDTF">2015-06-05T18:17:20Z</dcterms:created>
  <dcterms:modified xsi:type="dcterms:W3CDTF">2026-07-20T17:00:39Z</dcterms:modified>
</cp:coreProperties>
</file>